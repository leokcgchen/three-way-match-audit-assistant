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ZhuanZ（无密码）\Desktop\新建文件夹\"/>
    </mc:Choice>
  </mc:AlternateContent>
  <xr:revisionPtr revIDLastSave="0" documentId="13_ncr:1_{6467B4C4-BFEF-4C1A-BF04-13B90FA16AC1}" xr6:coauthVersionLast="47" xr6:coauthVersionMax="47" xr10:uidLastSave="{00000000-0000-0000-0000-000000000000}"/>
  <bookViews>
    <workbookView xWindow="-110" yWindow="-110" windowWidth="21820" windowHeight="13900" xr2:uid="{3281EFFD-0EB3-4FBC-A3F0-4CE4417DA13F}"/>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5" i="1" l="1"/>
  <c r="V29" i="1"/>
  <c r="V30" i="1"/>
  <c r="V31" i="1"/>
  <c r="V32" i="1"/>
  <c r="V33" i="1"/>
  <c r="V34" i="1"/>
  <c r="V35" i="1"/>
  <c r="V36" i="1"/>
  <c r="V37" i="1"/>
  <c r="V38" i="1"/>
  <c r="V39" i="1"/>
  <c r="V40" i="1"/>
  <c r="V41" i="1"/>
  <c r="V42" i="1"/>
  <c r="V43" i="1"/>
  <c r="V44" i="1"/>
  <c r="V45" i="1"/>
  <c r="V46" i="1"/>
  <c r="V47" i="1"/>
  <c r="V48" i="1"/>
  <c r="S30" i="1"/>
  <c r="S31" i="1"/>
  <c r="S32" i="1"/>
  <c r="S33" i="1"/>
  <c r="S34" i="1"/>
  <c r="S36" i="1"/>
  <c r="S37" i="1"/>
  <c r="S38" i="1"/>
  <c r="S39" i="1"/>
  <c r="S40" i="1"/>
  <c r="S41" i="1"/>
  <c r="S42" i="1"/>
  <c r="S43" i="1"/>
  <c r="S44" i="1"/>
  <c r="S45" i="1"/>
  <c r="S46" i="1"/>
  <c r="S47" i="1"/>
  <c r="S48" i="1"/>
  <c r="S29" i="1"/>
  <c r="K30" i="1"/>
  <c r="K31" i="1"/>
  <c r="K32" i="1"/>
  <c r="K33" i="1"/>
  <c r="K34" i="1"/>
  <c r="K35" i="1"/>
  <c r="K36" i="1"/>
  <c r="K37" i="1"/>
  <c r="K38" i="1"/>
  <c r="K39" i="1"/>
  <c r="K40" i="1"/>
  <c r="K41" i="1"/>
  <c r="K42" i="1"/>
  <c r="K43" i="1"/>
  <c r="K44" i="1"/>
  <c r="K45" i="1"/>
  <c r="K46" i="1"/>
  <c r="K47" i="1"/>
  <c r="K48" i="1"/>
  <c r="K29" i="1"/>
  <c r="T30" i="1"/>
  <c r="T31" i="1"/>
  <c r="T32" i="1"/>
  <c r="T33" i="1"/>
  <c r="T34" i="1"/>
  <c r="T35" i="1"/>
  <c r="T36" i="1"/>
  <c r="T37" i="1"/>
  <c r="T38" i="1"/>
  <c r="T39" i="1"/>
  <c r="T40" i="1"/>
  <c r="T41" i="1"/>
  <c r="T42" i="1"/>
  <c r="T43" i="1"/>
  <c r="T44" i="1"/>
  <c r="T45" i="1"/>
  <c r="T46" i="1"/>
  <c r="T47" i="1"/>
  <c r="T48" i="1"/>
  <c r="T29" i="1"/>
</calcChain>
</file>

<file path=xl/sharedStrings.xml><?xml version="1.0" encoding="utf-8"?>
<sst xmlns="http://schemas.openxmlformats.org/spreadsheetml/2006/main" count="165" uniqueCount="101">
  <si>
    <t>被审计单位名称</t>
    <phoneticPr fontId="2" type="noConversion"/>
  </si>
  <si>
    <t>程序索引号</t>
    <phoneticPr fontId="2" type="noConversion"/>
  </si>
  <si>
    <t>币种</t>
    <phoneticPr fontId="2" type="noConversion"/>
  </si>
  <si>
    <t>单位</t>
    <phoneticPr fontId="2" type="noConversion"/>
  </si>
  <si>
    <t>人民币</t>
    <phoneticPr fontId="2" type="noConversion"/>
  </si>
  <si>
    <t>Yuan 元</t>
    <phoneticPr fontId="2" type="noConversion"/>
  </si>
  <si>
    <t>评量询问</t>
    <phoneticPr fontId="2" type="noConversion"/>
  </si>
  <si>
    <t>被审计单位遵循哪些运输条款?</t>
    <phoneticPr fontId="2" type="noConversion"/>
  </si>
  <si>
    <t>No 否</t>
    <phoneticPr fontId="2" type="noConversion"/>
  </si>
  <si>
    <t>签收确认</t>
    <phoneticPr fontId="2" type="noConversion"/>
  </si>
  <si>
    <t>注意事项</t>
    <phoneticPr fontId="2" type="noConversion"/>
  </si>
  <si>
    <t>—测试步骤是指工作流程工作屏中列出的本程序相关步骤,如需增加测试步骤,请根据需要增加表格的行数和列数。</t>
    <phoneticPr fontId="2" type="noConversion"/>
  </si>
  <si>
    <t>—如果实质性程序的样本量超过下表行数，请进行复制粘贴（而非插入空格行）以确保公式和列表选项覆盖所有行</t>
    <phoneticPr fontId="2" type="noConversion"/>
  </si>
  <si>
    <t>样本编号</t>
    <phoneticPr fontId="2" type="noConversion"/>
  </si>
  <si>
    <t>客户名称</t>
    <phoneticPr fontId="2" type="noConversion"/>
  </si>
  <si>
    <t>销售订单编号</t>
    <phoneticPr fontId="2" type="noConversion"/>
  </si>
  <si>
    <t>运输条款</t>
    <phoneticPr fontId="2" type="noConversion"/>
  </si>
  <si>
    <t>签收日期</t>
    <phoneticPr fontId="2" type="noConversion"/>
  </si>
  <si>
    <t>交货单据数量</t>
    <phoneticPr fontId="2" type="noConversion"/>
  </si>
  <si>
    <t>金额</t>
    <phoneticPr fontId="2" type="noConversion"/>
  </si>
  <si>
    <t>差异</t>
    <phoneticPr fontId="2" type="noConversion"/>
  </si>
  <si>
    <t>Formula Key</t>
    <phoneticPr fontId="2" type="noConversion"/>
  </si>
  <si>
    <t>注释：</t>
    <phoneticPr fontId="2" type="noConversion"/>
  </si>
  <si>
    <t>— 本程序模板的设计基于以下假设:本程序的相关考虑事项将恰当记录于与本程序有关的工作流程工作屏中,除非它们已由本程序模板直接应对。</t>
    <phoneticPr fontId="2" type="noConversion"/>
  </si>
  <si>
    <t>— 项目组应根据自主添加的任何实质性程序步骤和/或通过执行这些步骤获取的结果，确定是否需在本程序模板中添加额外的标记、其他注释及/威其他信息。</t>
    <phoneticPr fontId="2" type="noConversion"/>
  </si>
  <si>
    <t>销售截止（期后）</t>
    <phoneticPr fontId="2" type="noConversion"/>
  </si>
  <si>
    <t>（本实质性程序模板用于抽凭检查期末之后不久过账的销售是否在恰当的期间确认。）</t>
    <phoneticPr fontId="2" type="noConversion"/>
  </si>
  <si>
    <t>期间截止日</t>
    <phoneticPr fontId="2" type="noConversion"/>
  </si>
  <si>
    <t>获取收入交易的相关文件，以确定控制权转移至客户的时点。</t>
    <phoneticPr fontId="2" type="noConversion"/>
  </si>
  <si>
    <t>评估收入交易收入是否已在控制权转移至客户时确认，并已记录于正确的会计期间。</t>
    <phoneticPr fontId="2" type="noConversion"/>
  </si>
  <si>
    <t>确定相关的应收账款是否已计入正确的会计期间。</t>
    <phoneticPr fontId="2" type="noConversion"/>
  </si>
  <si>
    <t>项目组确定是否检查销售订单？</t>
    <phoneticPr fontId="2" type="noConversion"/>
  </si>
  <si>
    <t>GOSPD01030 测试步骤（请展开）：</t>
    <phoneticPr fontId="2" type="noConversion"/>
  </si>
  <si>
    <t>GOSPD01030</t>
    <phoneticPr fontId="2" type="noConversion"/>
  </si>
  <si>
    <t>期后</t>
    <phoneticPr fontId="2" type="noConversion"/>
  </si>
  <si>
    <t>截止性测试涵盖期间</t>
    <phoneticPr fontId="2" type="noConversion"/>
  </si>
  <si>
    <t>【通过询问相关人员和查阅销售合同(如，运输条款)确定了预期交付给客户的交付期，并以此为基础确定适用于每种交付类型所需测试的期末前后”截止期”的长度。
执行截止性测试时，项目组需先了解被审计单位收入确认周期，以判断执行截止性测试的区间。我们可能考虑的相关因素包括:
 - 被审计单位记录销售商品或服务的流程，
 - 所涉及的交付周期，
 - 贸易模式
 - 付款条件和其他影响商品或服务确认点的因素，以及被审计单位实际记录和付款的时间】</t>
    <phoneticPr fontId="2" type="noConversion"/>
  </si>
  <si>
    <t>会计凭证编号</t>
    <phoneticPr fontId="2" type="noConversion"/>
  </si>
  <si>
    <t>过账日期</t>
    <phoneticPr fontId="2" type="noConversion"/>
  </si>
  <si>
    <t>入账金额 人民币 Yuan 元</t>
    <phoneticPr fontId="2" type="noConversion"/>
  </si>
  <si>
    <t>销售数量</t>
    <phoneticPr fontId="2" type="noConversion"/>
  </si>
  <si>
    <t>系统发票编号</t>
    <phoneticPr fontId="2" type="noConversion"/>
  </si>
  <si>
    <t>系统发票金额
人民币 Yuan元</t>
    <phoneticPr fontId="2" type="noConversion"/>
  </si>
  <si>
    <t>差异
人民币 Yuan元</t>
    <phoneticPr fontId="2" type="noConversion"/>
  </si>
  <si>
    <t>交货单据类型</t>
    <phoneticPr fontId="2" type="noConversion"/>
  </si>
  <si>
    <t>交货单据编号</t>
    <phoneticPr fontId="2" type="noConversion"/>
  </si>
  <si>
    <t>交货单据金额</t>
    <phoneticPr fontId="2" type="noConversion"/>
  </si>
  <si>
    <t>销售收入是否记录在正确的会计期间？</t>
    <phoneticPr fontId="2" type="noConversion"/>
  </si>
  <si>
    <t>执行的所有测试步骤都没有发现异常？</t>
    <phoneticPr fontId="2" type="noConversion"/>
  </si>
  <si>
    <t>异常的详细信息和进一步测试</t>
    <phoneticPr fontId="2" type="noConversion"/>
  </si>
  <si>
    <t>测试步骤</t>
    <phoneticPr fontId="2" type="noConversion"/>
  </si>
  <si>
    <t>基于相关交货单据</t>
    <phoneticPr fontId="2" type="noConversion"/>
  </si>
  <si>
    <t>基于相关销售文件</t>
    <phoneticPr fontId="2" type="noConversion"/>
  </si>
  <si>
    <t>基于销售明细账/其他适用明细账</t>
    <phoneticPr fontId="2" type="noConversion"/>
  </si>
  <si>
    <t>a</t>
    <phoneticPr fontId="2" type="noConversion"/>
  </si>
  <si>
    <t>X1</t>
    <phoneticPr fontId="2" type="noConversion"/>
  </si>
  <si>
    <t>b</t>
    <phoneticPr fontId="2" type="noConversion"/>
  </si>
  <si>
    <t>c=a-b</t>
    <phoneticPr fontId="2" type="noConversion"/>
  </si>
  <si>
    <t>X2</t>
    <phoneticPr fontId="2" type="noConversion"/>
  </si>
  <si>
    <t>d</t>
    <phoneticPr fontId="2" type="noConversion"/>
  </si>
  <si>
    <t>e=a-d</t>
    <phoneticPr fontId="2" type="noConversion"/>
  </si>
  <si>
    <t>X3=X1-X2</t>
    <phoneticPr fontId="2" type="noConversion"/>
  </si>
  <si>
    <t>yes是/No否</t>
    <phoneticPr fontId="2" type="noConversion"/>
  </si>
  <si>
    <t>示例1</t>
    <phoneticPr fontId="2" type="noConversion"/>
  </si>
  <si>
    <t>ZZZ</t>
    <phoneticPr fontId="2" type="noConversion"/>
  </si>
  <si>
    <t>03/01/2025</t>
    <phoneticPr fontId="2" type="noConversion"/>
  </si>
  <si>
    <t>XYZ公司</t>
    <phoneticPr fontId="2" type="noConversion"/>
  </si>
  <si>
    <t>INV000YYY</t>
    <phoneticPr fontId="2" type="noConversion"/>
  </si>
  <si>
    <t>签收单</t>
    <phoneticPr fontId="2" type="noConversion"/>
  </si>
  <si>
    <t>Guidance</t>
    <phoneticPr fontId="2" type="noConversion"/>
  </si>
  <si>
    <t>在不同的贸易模式下，验证控制转移点的单据不同，执行收入截止性测试时，需要根据不同的贸易模式检查对应收入确认单据的相关信息(如产品型号、数量、单据日期等)，不同贸易模式的收入确认单据举例如下:</t>
    <phoneticPr fontId="2" type="noConversion"/>
  </si>
  <si>
    <t>贸易模式</t>
    <phoneticPr fontId="2" type="noConversion"/>
  </si>
  <si>
    <t>收入确认单据举例(具体以各项目实际情况调整)</t>
  </si>
  <si>
    <t>FOB</t>
    <phoneticPr fontId="2" type="noConversion"/>
  </si>
  <si>
    <t>FCA</t>
    <phoneticPr fontId="2" type="noConversion"/>
  </si>
  <si>
    <t>客户自提</t>
    <phoneticPr fontId="2" type="noConversion"/>
  </si>
  <si>
    <t>验收确认</t>
    <phoneticPr fontId="2" type="noConversion"/>
  </si>
  <si>
    <t>出口报关单、承运人提单</t>
    <phoneticPr fontId="2" type="noConversion"/>
  </si>
  <si>
    <t>货物运单、报关清单资料</t>
    <phoneticPr fontId="2" type="noConversion"/>
  </si>
  <si>
    <t>提货单</t>
    <phoneticPr fontId="2" type="noConversion"/>
  </si>
  <si>
    <t>验收单</t>
    <phoneticPr fontId="2" type="noConversion"/>
  </si>
  <si>
    <t>项目组应查看合同或者销售订单确认货物控制转移点的单据，当存在不同运货条款的类别时，应添加不同表格，并分别对证明货物控制转移时点的单据进行检查。</t>
    <phoneticPr fontId="2" type="noConversion"/>
  </si>
  <si>
    <t>CIP</t>
    <phoneticPr fontId="2" type="noConversion"/>
  </si>
  <si>
    <t>DDP</t>
    <phoneticPr fontId="2" type="noConversion"/>
  </si>
  <si>
    <t>DAP</t>
    <phoneticPr fontId="2" type="noConversion"/>
  </si>
  <si>
    <t>是否选择不检查系统发票的考虑</t>
    <phoneticPr fontId="2" type="noConversion"/>
  </si>
  <si>
    <t>该程序界定的抽样单元是一笔销售收入的金额</t>
    <phoneticPr fontId="2" type="noConversion"/>
  </si>
  <si>
    <t>是否选择检查销售订单的考虑</t>
    <phoneticPr fontId="2" type="noConversion"/>
  </si>
  <si>
    <t>项目组需根据风险水平，例如：高风险业务，以及程序应对的风险等级（反舞弊程序），确定是否检查销售订单</t>
    <phoneticPr fontId="2" type="noConversion"/>
  </si>
  <si>
    <t>截止性的选样</t>
    <phoneticPr fontId="2" type="noConversion"/>
  </si>
  <si>
    <t>可以采用审计抽样方法应对截止性风险，但是需要结合总体和风险进行分析，是否符合实质性抽样的适用情形:</t>
    <phoneticPr fontId="2" type="noConversion"/>
  </si>
  <si>
    <t>情形一
RMM：收入跨期的舞弊风险；
舞弊风险特征；
1.存在关联关系的经销商在12月下旬发生的销售；
2.运输周期明显异常的销售;建议测试方法:特定项目</t>
    <phoneticPr fontId="2" type="noConversion"/>
  </si>
  <si>
    <t>情形二
RMM：收入跨期的错误风险总体特征；
大量小额交易；
相关控制：有效；
预期错报：不重大；
建议测试方法：实质性抽样</t>
    <phoneticPr fontId="2" type="noConversion"/>
  </si>
  <si>
    <t>情形三
RMM：收入跨期的错误风险
预期错报：重大*；
*管理层采用的收入确认会计政策不正确，且未进行调整，项目组预期收入确认时点与管理层记账时点的差异会导致重大错报
建议测试方法：特定项目</t>
    <phoneticPr fontId="2" type="noConversion"/>
  </si>
  <si>
    <r>
      <t xml:space="preserve">Guidance of procedure:
Depending on the specific circumstances of the entity, revenue recognition might be defined in different forms, for example:
</t>
    </r>
    <r>
      <rPr>
        <b/>
        <sz val="11"/>
        <color theme="1"/>
        <rFont val="等线"/>
        <family val="3"/>
        <charset val="134"/>
        <scheme val="minor"/>
      </rPr>
      <t xml:space="preserve">-sales
-revenue/ sales by project
-revenue/ sales by contract
</t>
    </r>
    <r>
      <rPr>
        <sz val="11"/>
        <color theme="1"/>
        <rFont val="等线"/>
        <family val="2"/>
        <charset val="134"/>
        <scheme val="minor"/>
      </rPr>
      <t xml:space="preserve">The determination of the coverage period for the population is a matter of audit judgement. Relevant factors that we may consider include
</t>
    </r>
    <r>
      <rPr>
        <b/>
        <sz val="11"/>
        <color theme="1"/>
        <rFont val="等线"/>
        <family val="3"/>
        <charset val="134"/>
        <scheme val="minor"/>
      </rPr>
      <t>-the entity's modes of transportation for delivery of goods which influence the length of delivery times,
-the type of service provided
-the entity's billing frequency and cash collection times, and
-factors which influence the transfer of control and the point of revenue recognition.</t>
    </r>
    <phoneticPr fontId="2" type="noConversion"/>
  </si>
  <si>
    <t>Guidance of testing step 1:
Examples of relevant documentation of goods shipped and services performed:
• related customer contract,
• bill of lading,
• shipping document,
• proof of service and/or delivery, and
• proof of acceptance for sales of goods/ rendering of services.
Guidance for when control transfers:
See Sections 5.1 and 5.4 of the #link$https://alex.kpmg.com/AROWeb/bridge/17751/17751?d=INTL,US,UK||Revenue – IFRS 15 handbook||$link# regarding guidance of when control transfers.
In situations where the evidence of transfer of control is internally generated and no transaction-level proof of delivery/acceptance is available, we test the reliability of the internally generated evidence and document the assessment supporting why the internally generated evidence would be sufficient evidence for revenue recognition.</t>
    <phoneticPr fontId="2" type="noConversion"/>
  </si>
  <si>
    <t>签收确认</t>
  </si>
  <si>
    <t>02/01/2025</t>
    <phoneticPr fontId="2" type="noConversion"/>
  </si>
  <si>
    <t>[键入文件类型]</t>
    <phoneticPr fontId="2" type="noConversion"/>
  </si>
  <si>
    <t>YES 是</t>
  </si>
  <si>
    <t>项目组确定是否无需检查系统发票？</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</si>
</sst>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76" formatCode="#,##0.00_ "/>
    <numFmt numFmtId="177" formatCode="dd/mm/yyyy;@"/>
  </numFmts>
  <fonts count="11" x14ac:knownFonts="1">
    <font>
      <sz val="11"/>
      <color theme="1"/>
      <name val="等线"/>
      <family val="2"/>
      <charset val="134"/>
      <scheme val="minor"/>
    </font>
    <font>
      <sz val="11"/>
      <color theme="0"/>
      <name val="等线"/>
      <family val="2"/>
      <charset val="134"/>
      <scheme val="minor"/>
    </font>
    <font>
      <sz val="9"/>
      <name val="等线"/>
      <family val="2"/>
      <charset val="134"/>
      <scheme val="minor"/>
    </font>
    <font>
      <sz val="36"/>
      <color theme="0"/>
      <name val="等线"/>
      <family val="2"/>
      <charset val="134"/>
      <scheme val="minor"/>
    </font>
    <font>
      <b/>
      <sz val="11"/>
      <color theme="0"/>
      <name val="等线"/>
      <family val="3"/>
      <charset val="134"/>
      <scheme val="minor"/>
    </font>
    <font>
      <b/>
      <sz val="12"/>
      <color theme="0"/>
      <name val="等线"/>
      <family val="3"/>
      <charset val="134"/>
      <scheme val="minor"/>
    </font>
    <font>
      <sz val="11"/>
      <name val="等线"/>
      <family val="2"/>
      <charset val="134"/>
      <scheme val="minor"/>
    </font>
    <font>
      <sz val="11"/>
      <color rgb="FFFF0000"/>
      <name val="等线"/>
      <family val="2"/>
      <charset val="134"/>
      <scheme val="minor"/>
    </font>
    <font>
      <b/>
      <sz val="11"/>
      <color theme="1"/>
      <name val="等线"/>
      <family val="3"/>
      <charset val="134"/>
      <scheme val="minor"/>
    </font>
    <font>
      <sz val="11"/>
      <color rgb="FFFF0000"/>
      <name val="等线"/>
      <family val="3"/>
      <charset val="134"/>
      <scheme val="minor"/>
    </font>
    <font>
      <b/>
      <sz val="11"/>
      <color rgb="FF7030A0"/>
      <name val="等线"/>
      <family val="3"/>
      <charset val="134"/>
      <scheme val="minor"/>
    </font>
  </fonts>
  <fills count="6">
    <fill>
      <patternFill patternType="none"/>
    </fill>
    <fill>
      <patternFill patternType="gray125"/>
    </fill>
    <fill>
      <patternFill patternType="solid">
        <fgColor rgb="FF000099"/>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0"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alignment vertical="center"/>
    </xf>
  </cellStyleXfs>
  <cellXfs count="44">
    <xf numFmtId="0" fontId="0" fillId="0" borderId="0" xfId="0">
      <alignment vertical="center"/>
    </xf>
    <xf numFmtId="0" fontId="0" fillId="2" borderId="0" xfId="0" applyFill="1">
      <alignment vertical="center"/>
    </xf>
    <xf numFmtId="0" fontId="3" fillId="2" borderId="0" xfId="0" applyFont="1" applyFill="1">
      <alignment vertical="center"/>
    </xf>
    <xf numFmtId="0" fontId="4" fillId="2" borderId="0" xfId="0" applyFont="1" applyFill="1">
      <alignment vertical="center"/>
    </xf>
    <xf numFmtId="0" fontId="5" fillId="2" borderId="0" xfId="0" applyFont="1" applyFill="1" applyAlignment="1">
      <alignment horizontal="center" vertical="center"/>
    </xf>
    <xf numFmtId="0" fontId="0" fillId="3" borderId="0" xfId="0" applyFill="1">
      <alignment vertical="center"/>
    </xf>
    <xf numFmtId="0" fontId="0" fillId="3" borderId="0" xfId="0" applyFill="1" applyAlignment="1">
      <alignment horizontal="center" vertical="center"/>
    </xf>
    <xf numFmtId="0" fontId="0" fillId="0" borderId="0" xfId="0" applyAlignment="1">
      <alignment vertical="center" wrapText="1"/>
    </xf>
    <xf numFmtId="0" fontId="4" fillId="2" borderId="0" xfId="0" applyFont="1" applyFill="1" applyAlignment="1">
      <alignment horizontal="left" vertical="center"/>
    </xf>
    <xf numFmtId="0" fontId="1" fillId="2" borderId="0" xfId="0" applyFont="1" applyFill="1" applyAlignment="1">
      <alignment horizontal="left" vertical="center"/>
    </xf>
    <xf numFmtId="0" fontId="1" fillId="0" borderId="0" xfId="0" applyFont="1" applyAlignment="1">
      <alignment horizontal="left" vertical="center"/>
    </xf>
    <xf numFmtId="0" fontId="1" fillId="2" borderId="0" xfId="0" applyFont="1" applyFill="1">
      <alignment vertical="center"/>
    </xf>
    <xf numFmtId="0" fontId="1" fillId="0" borderId="0" xfId="0" applyFont="1">
      <alignment vertical="center"/>
    </xf>
    <xf numFmtId="0" fontId="0" fillId="0" borderId="0" xfId="0" applyAlignment="1">
      <alignment horizontal="center" vertical="center"/>
    </xf>
    <xf numFmtId="0" fontId="0" fillId="0" borderId="1" xfId="0" applyBorder="1" applyAlignment="1">
      <alignment horizontal="center" vertical="center"/>
    </xf>
    <xf numFmtId="0" fontId="4" fillId="2" borderId="1" xfId="0" applyFont="1" applyFill="1" applyBorder="1">
      <alignment vertical="center"/>
    </xf>
    <xf numFmtId="0" fontId="4"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0" fillId="0" borderId="0" xfId="0" applyAlignment="1">
      <alignment vertical="top" wrapText="1"/>
    </xf>
    <xf numFmtId="0" fontId="6" fillId="2" borderId="0" xfId="0" applyFont="1" applyFill="1" applyAlignment="1">
      <alignment horizontal="left" vertical="center"/>
    </xf>
    <xf numFmtId="0" fontId="0" fillId="2" borderId="0" xfId="0" applyFill="1" applyAlignment="1">
      <alignment vertical="top" wrapText="1"/>
    </xf>
    <xf numFmtId="0" fontId="7" fillId="0" borderId="0" xfId="0" applyFont="1">
      <alignment vertical="center"/>
    </xf>
    <xf numFmtId="0" fontId="7" fillId="0" borderId="1" xfId="0" applyFont="1" applyBorder="1" applyAlignment="1">
      <alignment horizontal="center" vertical="center"/>
    </xf>
    <xf numFmtId="43" fontId="9" fillId="0" borderId="1" xfId="0" applyNumberFormat="1" applyFont="1" applyBorder="1" applyAlignment="1">
      <alignment horizontal="center" vertical="center"/>
    </xf>
    <xf numFmtId="43" fontId="0" fillId="0" borderId="1" xfId="0" applyNumberFormat="1" applyBorder="1" applyAlignment="1">
      <alignment horizontal="center" vertical="center"/>
    </xf>
    <xf numFmtId="177" fontId="7" fillId="0" borderId="1" xfId="0" applyNumberFormat="1" applyFont="1" applyBorder="1" applyAlignment="1">
      <alignment horizontal="center" vertical="center"/>
    </xf>
    <xf numFmtId="177" fontId="0" fillId="0" borderId="1" xfId="0" applyNumberFormat="1" applyBorder="1" applyAlignment="1">
      <alignment horizontal="center" vertical="center"/>
    </xf>
    <xf numFmtId="0" fontId="10" fillId="0" borderId="0" xfId="0" applyFont="1" applyAlignment="1">
      <alignment horizontal="center" vertical="center"/>
    </xf>
    <xf numFmtId="177" fontId="0" fillId="3" borderId="0" xfId="0" applyNumberFormat="1" applyFill="1" applyAlignment="1">
      <alignment horizontal="center" vertical="center"/>
    </xf>
    <xf numFmtId="0" fontId="9" fillId="5" borderId="1" xfId="0" applyFont="1" applyFill="1" applyBorder="1" applyAlignment="1">
      <alignment horizontal="center" vertical="center"/>
    </xf>
    <xf numFmtId="0" fontId="0" fillId="5" borderId="1" xfId="0" applyFill="1" applyBorder="1" applyAlignment="1">
      <alignment horizontal="center" vertical="center"/>
    </xf>
    <xf numFmtId="176" fontId="9" fillId="5" borderId="1" xfId="0" applyNumberFormat="1" applyFont="1" applyFill="1" applyBorder="1" applyAlignment="1">
      <alignment horizontal="center" vertical="center"/>
    </xf>
    <xf numFmtId="176" fontId="0" fillId="5" borderId="1" xfId="0" applyNumberFormat="1" applyFill="1" applyBorder="1" applyAlignment="1">
      <alignment horizontal="center" vertical="center"/>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top"/>
    </xf>
    <xf numFmtId="0" fontId="0" fillId="3" borderId="0" xfId="0" applyFill="1" applyAlignment="1">
      <alignment horizontal="center" vertical="center"/>
    </xf>
    <xf numFmtId="0" fontId="0" fillId="0" borderId="0" xfId="0" applyAlignment="1">
      <alignment horizontal="left" vertical="center"/>
    </xf>
    <xf numFmtId="0" fontId="0" fillId="4" borderId="0" xfId="0" applyFill="1" applyAlignment="1">
      <alignment horizontal="left" vertical="center" wrapText="1"/>
    </xf>
    <xf numFmtId="0" fontId="5" fillId="2" borderId="0" xfId="0" applyFont="1" applyFill="1" applyAlignment="1">
      <alignment horizontal="center" vertical="center"/>
    </xf>
    <xf numFmtId="0" fontId="4" fillId="2"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BE256-C7B3-41E0-9B6B-A1F3DA3C4FA0}">
  <dimension ref="A1:AF52"/>
  <sheetViews>
    <sheetView tabSelected="1" topLeftCell="A10" zoomScale="76" workbookViewId="0">
      <selection activeCell="I10" sqref="I10"/>
    </sheetView>
  </sheetViews>
  <sheetFormatPr defaultRowHeight="14" x14ac:dyDescent="0.3"/>
  <cols>
    <col min="1" max="1" width="2.58203125" bestFit="1" customWidth="1"/>
    <col min="2" max="2" width="74.6640625" customWidth="1"/>
    <col min="3" max="3" width="12.75" bestFit="1" customWidth="1"/>
    <col min="4" max="4" width="10.9140625" bestFit="1" customWidth="1"/>
    <col min="5" max="5" width="11.5" bestFit="1" customWidth="1"/>
    <col min="6" max="6" width="23.58203125" bestFit="1" customWidth="1"/>
    <col min="7" max="7" width="8.1640625" customWidth="1"/>
    <col min="8" max="8" width="1.5" customWidth="1"/>
    <col min="9" max="10" width="12.75" bestFit="1" customWidth="1"/>
    <col min="11" max="11" width="11.5" bestFit="1" customWidth="1"/>
    <col min="12" max="12" width="12.75" bestFit="1" customWidth="1"/>
    <col min="13" max="13" width="10.83203125" bestFit="1" customWidth="1"/>
    <col min="14" max="15" width="12.75" bestFit="1" customWidth="1"/>
    <col min="16" max="16" width="10.9140625" bestFit="1" customWidth="1"/>
    <col min="17" max="18" width="12.75" bestFit="1" customWidth="1"/>
    <col min="19" max="19" width="10.9140625" bestFit="1" customWidth="1"/>
    <col min="20" max="20" width="9.6640625" bestFit="1" customWidth="1"/>
    <col min="21" max="21" width="1.4140625" customWidth="1"/>
    <col min="22" max="23" width="12.75" bestFit="1" customWidth="1"/>
    <col min="24" max="24" width="10.75" bestFit="1" customWidth="1"/>
    <col min="25" max="27" width="30.58203125" customWidth="1"/>
  </cols>
  <sheetData>
    <row r="1" spans="1:32" ht="1.5" customHeight="1" x14ac:dyDescent="0.3"/>
    <row r="2" spans="1:32" ht="65.5" customHeight="1" x14ac:dyDescent="0.3">
      <c r="A2" s="1"/>
      <c r="B2" s="2" t="s">
        <v>25</v>
      </c>
      <c r="C2" s="1"/>
      <c r="D2" s="1"/>
      <c r="E2" s="1"/>
      <c r="F2" s="1"/>
      <c r="G2" s="1"/>
      <c r="H2" s="1"/>
      <c r="I2" s="1"/>
      <c r="J2" s="1"/>
      <c r="K2" s="1"/>
      <c r="L2" s="1"/>
      <c r="M2" s="1"/>
      <c r="N2" s="1"/>
      <c r="O2" s="1"/>
      <c r="P2" s="1"/>
      <c r="Q2" s="1"/>
      <c r="R2" s="1"/>
      <c r="S2" s="1"/>
      <c r="T2" s="1"/>
      <c r="U2" s="1"/>
      <c r="V2" s="1"/>
      <c r="W2" s="1"/>
      <c r="X2" s="1"/>
    </row>
    <row r="3" spans="1:32" x14ac:dyDescent="0.3">
      <c r="A3" s="1"/>
      <c r="B3" s="3" t="s">
        <v>26</v>
      </c>
      <c r="C3" s="1"/>
      <c r="D3" s="1"/>
      <c r="E3" s="1"/>
      <c r="F3" s="1"/>
      <c r="G3" s="1"/>
      <c r="H3" s="1"/>
      <c r="I3" s="1"/>
      <c r="J3" s="1"/>
      <c r="K3" s="1"/>
      <c r="L3" s="1"/>
      <c r="M3" s="1"/>
      <c r="N3" s="1"/>
      <c r="O3" s="1"/>
      <c r="P3" s="1"/>
      <c r="Q3" s="1"/>
      <c r="R3" s="1"/>
      <c r="S3" s="1"/>
      <c r="T3" s="1"/>
      <c r="U3" s="1"/>
      <c r="V3" s="1"/>
      <c r="W3" s="1"/>
      <c r="X3" s="1"/>
      <c r="Y3" t="s">
        <v>69</v>
      </c>
    </row>
    <row r="4" spans="1:32" x14ac:dyDescent="0.3">
      <c r="Y4" s="35" t="s">
        <v>70</v>
      </c>
      <c r="Z4" s="35"/>
      <c r="AA4" s="35"/>
      <c r="AB4" s="35"/>
    </row>
    <row r="5" spans="1:32" ht="33" customHeight="1" x14ac:dyDescent="0.3">
      <c r="B5" s="4" t="s">
        <v>0</v>
      </c>
      <c r="C5" s="39"/>
      <c r="D5" s="39"/>
      <c r="E5" s="4" t="s">
        <v>1</v>
      </c>
      <c r="F5" s="6" t="s">
        <v>33</v>
      </c>
      <c r="G5" s="42" t="s">
        <v>2</v>
      </c>
      <c r="H5" s="42"/>
      <c r="I5" s="6" t="s">
        <v>4</v>
      </c>
      <c r="J5" s="4" t="s">
        <v>3</v>
      </c>
      <c r="K5" s="6" t="s">
        <v>5</v>
      </c>
      <c r="L5" s="4" t="s">
        <v>27</v>
      </c>
      <c r="M5" s="28">
        <v>45657</v>
      </c>
      <c r="W5" s="18"/>
      <c r="X5" s="18"/>
      <c r="Y5" s="35"/>
      <c r="Z5" s="35"/>
      <c r="AA5" s="35"/>
      <c r="AB5" s="35"/>
      <c r="AC5" s="18"/>
      <c r="AD5" s="18"/>
      <c r="AE5" s="18"/>
      <c r="AF5" s="18"/>
    </row>
    <row r="6" spans="1:32" ht="28" x14ac:dyDescent="0.3">
      <c r="W6" s="18"/>
      <c r="X6" s="18"/>
      <c r="Y6" s="18" t="s">
        <v>71</v>
      </c>
      <c r="Z6" s="18" t="s">
        <v>72</v>
      </c>
      <c r="AA6" s="18"/>
      <c r="AB6" s="18"/>
      <c r="AC6" s="18"/>
      <c r="AD6" s="18"/>
      <c r="AE6" s="18"/>
      <c r="AF6" s="18"/>
    </row>
    <row r="7" spans="1:32" x14ac:dyDescent="0.3">
      <c r="B7" s="3" t="s">
        <v>32</v>
      </c>
      <c r="C7" s="1"/>
      <c r="D7" s="1"/>
      <c r="E7" s="1"/>
      <c r="F7" s="1"/>
      <c r="G7" s="1"/>
      <c r="H7" s="1"/>
      <c r="I7" s="1"/>
      <c r="J7" s="1"/>
      <c r="K7" s="1"/>
      <c r="L7" s="1"/>
      <c r="M7" s="1"/>
      <c r="N7" s="1"/>
      <c r="O7" s="1"/>
      <c r="P7" s="1"/>
      <c r="Q7" s="1"/>
      <c r="R7" s="1"/>
      <c r="S7" s="1"/>
      <c r="T7" s="1"/>
      <c r="U7" s="1"/>
      <c r="V7" s="1"/>
      <c r="W7" s="20"/>
      <c r="X7" s="20"/>
      <c r="Y7" s="18" t="s">
        <v>73</v>
      </c>
      <c r="Z7" s="18" t="s">
        <v>77</v>
      </c>
      <c r="AA7" s="18"/>
      <c r="AB7" s="18"/>
      <c r="AC7" s="18"/>
      <c r="AD7" s="18"/>
      <c r="AE7" s="18"/>
      <c r="AF7" s="18"/>
    </row>
    <row r="8" spans="1:32" s="7" customFormat="1" ht="77" customHeight="1" x14ac:dyDescent="0.3">
      <c r="A8">
        <v>1</v>
      </c>
      <c r="B8" s="7" t="s">
        <v>28</v>
      </c>
      <c r="W8" s="18"/>
      <c r="X8" s="18"/>
      <c r="Y8" s="7" t="s">
        <v>82</v>
      </c>
      <c r="Z8" s="7" t="s">
        <v>77</v>
      </c>
      <c r="AA8" s="18"/>
      <c r="AB8" s="18"/>
      <c r="AC8" s="18"/>
      <c r="AD8" s="18"/>
      <c r="AE8" s="18"/>
      <c r="AF8" s="18"/>
    </row>
    <row r="9" spans="1:32" s="7" customFormat="1" ht="104.5" customHeight="1" x14ac:dyDescent="0.3">
      <c r="A9">
        <v>2</v>
      </c>
      <c r="B9" s="7" t="s">
        <v>29</v>
      </c>
      <c r="W9" s="18"/>
      <c r="X9" s="18"/>
      <c r="Y9" s="7" t="s">
        <v>83</v>
      </c>
      <c r="Z9" s="7" t="s">
        <v>68</v>
      </c>
      <c r="AA9" s="18"/>
      <c r="AB9" s="18"/>
      <c r="AC9" s="18"/>
      <c r="AD9" s="18"/>
      <c r="AE9" s="18"/>
      <c r="AF9" s="18"/>
    </row>
    <row r="10" spans="1:32" s="7" customFormat="1" ht="104.5" customHeight="1" x14ac:dyDescent="0.3">
      <c r="A10">
        <v>3</v>
      </c>
      <c r="B10" s="7" t="s">
        <v>30</v>
      </c>
      <c r="W10" s="18"/>
      <c r="X10" s="18"/>
      <c r="Y10" s="7" t="s">
        <v>84</v>
      </c>
      <c r="Z10" s="7" t="s">
        <v>68</v>
      </c>
      <c r="AA10" s="18"/>
      <c r="AB10" s="18"/>
      <c r="AC10" s="18"/>
      <c r="AD10" s="18"/>
      <c r="AE10" s="18"/>
      <c r="AF10" s="18"/>
    </row>
    <row r="11" spans="1:32" x14ac:dyDescent="0.3">
      <c r="W11" s="18"/>
      <c r="X11" s="18"/>
      <c r="Y11" s="18" t="s">
        <v>74</v>
      </c>
      <c r="Z11" s="18" t="s">
        <v>78</v>
      </c>
      <c r="AA11" s="18"/>
      <c r="AB11" s="18"/>
      <c r="AC11" s="18"/>
      <c r="AD11" s="18"/>
      <c r="AE11" s="18"/>
      <c r="AF11" s="18"/>
    </row>
    <row r="12" spans="1:32" s="12" customFormat="1" x14ac:dyDescent="0.3">
      <c r="A12"/>
      <c r="B12" s="3" t="s">
        <v>6</v>
      </c>
      <c r="C12" s="11"/>
      <c r="D12" s="11"/>
      <c r="E12" s="11"/>
      <c r="F12" s="11"/>
      <c r="G12" s="11"/>
      <c r="H12" s="11"/>
      <c r="I12" s="11"/>
      <c r="J12" s="11"/>
      <c r="K12" s="11"/>
      <c r="L12" s="11"/>
      <c r="M12" s="11"/>
      <c r="N12" s="11"/>
      <c r="O12" s="11"/>
      <c r="P12" s="11"/>
      <c r="Q12" s="11"/>
      <c r="R12" s="11"/>
      <c r="S12" s="11"/>
      <c r="T12" s="11"/>
      <c r="U12" s="11"/>
      <c r="V12" s="11"/>
      <c r="W12" s="20"/>
      <c r="X12" s="20"/>
      <c r="Y12" s="18" t="s">
        <v>75</v>
      </c>
      <c r="Z12" s="18" t="s">
        <v>79</v>
      </c>
      <c r="AA12" s="18"/>
      <c r="AB12" s="18"/>
      <c r="AC12" s="18"/>
      <c r="AD12" s="18"/>
      <c r="AE12" s="18"/>
      <c r="AF12" s="18"/>
    </row>
    <row r="13" spans="1:32" x14ac:dyDescent="0.3">
      <c r="B13" s="40" t="s">
        <v>7</v>
      </c>
      <c r="C13" s="40"/>
      <c r="D13" s="40"/>
      <c r="E13" s="5" t="s">
        <v>96</v>
      </c>
      <c r="W13" s="18"/>
      <c r="X13" s="18"/>
      <c r="Y13" s="18" t="s">
        <v>76</v>
      </c>
      <c r="Z13" s="18" t="s">
        <v>80</v>
      </c>
      <c r="AA13" s="18"/>
      <c r="AB13" s="18"/>
      <c r="AC13" s="18"/>
      <c r="AD13" s="18"/>
      <c r="AE13" s="18"/>
      <c r="AF13" s="18"/>
    </row>
    <row r="14" spans="1:32" x14ac:dyDescent="0.3">
      <c r="B14" t="s">
        <v>100</v>
      </c>
      <c r="E14" s="5" t="s">
        <v>8</v>
      </c>
      <c r="W14" s="18"/>
      <c r="X14" s="18"/>
      <c r="Y14" s="18" t="s">
        <v>9</v>
      </c>
      <c r="Z14" s="18" t="s">
        <v>68</v>
      </c>
      <c r="AA14" s="18"/>
      <c r="AB14" s="18"/>
      <c r="AC14" s="18"/>
      <c r="AD14" s="18"/>
      <c r="AE14" s="18"/>
      <c r="AF14" s="18"/>
    </row>
    <row r="15" spans="1:32" x14ac:dyDescent="0.3">
      <c r="B15" s="40" t="s">
        <v>31</v>
      </c>
      <c r="C15" s="40"/>
      <c r="D15" s="40"/>
      <c r="E15" s="5" t="s">
        <v>8</v>
      </c>
      <c r="W15" s="18"/>
      <c r="X15" s="18"/>
      <c r="Y15" s="21" t="s">
        <v>81</v>
      </c>
      <c r="Z15" s="18"/>
      <c r="AA15" s="18"/>
      <c r="AB15" s="18"/>
      <c r="AC15" s="18"/>
      <c r="AD15" s="18"/>
      <c r="AE15" s="18"/>
      <c r="AF15" s="18"/>
    </row>
    <row r="16" spans="1:32" x14ac:dyDescent="0.3">
      <c r="W16" s="18"/>
      <c r="X16" s="18"/>
      <c r="Y16" s="18"/>
      <c r="Z16" s="18"/>
      <c r="AA16" s="18"/>
      <c r="AB16" s="18"/>
      <c r="AC16" s="18"/>
      <c r="AD16" s="18"/>
      <c r="AE16" s="18"/>
      <c r="AF16" s="18"/>
    </row>
    <row r="17" spans="1:27" s="10" customFormat="1" x14ac:dyDescent="0.3">
      <c r="A17"/>
      <c r="B17" s="8" t="s">
        <v>10</v>
      </c>
      <c r="C17" s="9"/>
      <c r="D17" s="9"/>
      <c r="E17" s="9"/>
      <c r="F17" s="9"/>
      <c r="G17" s="9"/>
      <c r="H17" s="9"/>
      <c r="I17" s="9"/>
      <c r="J17" s="9"/>
      <c r="K17" s="9"/>
      <c r="L17" s="9"/>
      <c r="M17" s="9"/>
      <c r="N17" s="9"/>
      <c r="O17" s="9"/>
      <c r="P17" s="9"/>
      <c r="Q17" s="9"/>
      <c r="R17" s="9"/>
      <c r="S17" s="9"/>
      <c r="T17" s="9"/>
      <c r="U17" s="9"/>
      <c r="V17" s="9"/>
      <c r="W17" s="19"/>
      <c r="X17" s="9"/>
    </row>
    <row r="18" spans="1:27" x14ac:dyDescent="0.3">
      <c r="B18" t="s">
        <v>11</v>
      </c>
      <c r="Y18" s="18" t="s">
        <v>85</v>
      </c>
    </row>
    <row r="19" spans="1:27" ht="28" x14ac:dyDescent="0.3">
      <c r="B19" t="s">
        <v>12</v>
      </c>
      <c r="Y19" s="18" t="s">
        <v>86</v>
      </c>
    </row>
    <row r="21" spans="1:27" x14ac:dyDescent="0.3">
      <c r="B21" s="3" t="s">
        <v>34</v>
      </c>
      <c r="C21" s="1"/>
      <c r="D21" s="1"/>
      <c r="E21" s="1"/>
      <c r="F21" s="1"/>
      <c r="G21" s="1"/>
      <c r="H21" s="1"/>
      <c r="I21" s="1"/>
      <c r="J21" s="1"/>
      <c r="K21" s="1"/>
      <c r="L21" s="1"/>
      <c r="M21" s="1"/>
      <c r="N21" s="1"/>
      <c r="O21" s="1"/>
      <c r="P21" s="1"/>
      <c r="Q21" s="1"/>
      <c r="R21" s="1"/>
      <c r="S21" s="1"/>
      <c r="T21" s="1"/>
      <c r="U21" s="1"/>
      <c r="V21" s="1"/>
      <c r="W21" s="1"/>
      <c r="X21" s="1"/>
      <c r="Y21" t="s">
        <v>87</v>
      </c>
    </row>
    <row r="22" spans="1:27" x14ac:dyDescent="0.3">
      <c r="Y22" t="s">
        <v>88</v>
      </c>
    </row>
    <row r="23" spans="1:27" ht="14" customHeight="1" x14ac:dyDescent="0.3">
      <c r="B23" s="38" t="s">
        <v>35</v>
      </c>
      <c r="C23" s="41" t="s">
        <v>36</v>
      </c>
      <c r="D23" s="41"/>
      <c r="E23" s="41"/>
      <c r="F23" s="41"/>
      <c r="G23" s="41"/>
      <c r="H23" s="41"/>
      <c r="I23" s="41"/>
      <c r="J23" s="41"/>
      <c r="K23" s="41"/>
      <c r="L23" s="41"/>
      <c r="M23" s="41"/>
      <c r="N23" s="41"/>
      <c r="O23" s="41"/>
      <c r="P23" s="41"/>
      <c r="Q23" s="41"/>
      <c r="R23" s="41"/>
      <c r="S23" s="41"/>
      <c r="T23" s="41"/>
      <c r="U23" s="41"/>
      <c r="V23" s="41"/>
      <c r="W23" s="41"/>
      <c r="X23" s="41"/>
    </row>
    <row r="24" spans="1:27" ht="153.5" customHeight="1" x14ac:dyDescent="0.3">
      <c r="B24" s="38"/>
      <c r="C24" s="41"/>
      <c r="D24" s="41"/>
      <c r="E24" s="41"/>
      <c r="F24" s="41"/>
      <c r="G24" s="41"/>
      <c r="H24" s="41"/>
      <c r="I24" s="41"/>
      <c r="J24" s="41"/>
      <c r="K24" s="41"/>
      <c r="L24" s="41"/>
      <c r="M24" s="41"/>
      <c r="N24" s="41"/>
      <c r="O24" s="41"/>
      <c r="P24" s="41"/>
      <c r="Q24" s="41"/>
      <c r="R24" s="41"/>
      <c r="S24" s="41"/>
      <c r="T24" s="41"/>
      <c r="U24" s="41"/>
      <c r="V24" s="41"/>
      <c r="W24" s="41"/>
      <c r="X24" s="41"/>
      <c r="Y24" t="s">
        <v>89</v>
      </c>
    </row>
    <row r="25" spans="1:27" x14ac:dyDescent="0.3">
      <c r="Y25" t="s">
        <v>90</v>
      </c>
    </row>
    <row r="26" spans="1:27" x14ac:dyDescent="0.3">
      <c r="C26" s="43" t="s">
        <v>53</v>
      </c>
      <c r="D26" s="43"/>
      <c r="E26" s="43"/>
      <c r="F26" s="43"/>
      <c r="G26" s="43"/>
      <c r="H26" s="13"/>
      <c r="I26" s="43" t="s">
        <v>52</v>
      </c>
      <c r="J26" s="43"/>
      <c r="K26" s="43"/>
      <c r="L26" s="43"/>
      <c r="M26" s="43"/>
      <c r="N26" s="43" t="s">
        <v>51</v>
      </c>
      <c r="O26" s="43"/>
      <c r="P26" s="43"/>
      <c r="Q26" s="43"/>
      <c r="R26" s="43"/>
      <c r="S26" s="43" t="s">
        <v>20</v>
      </c>
      <c r="T26" s="43"/>
      <c r="U26" s="13"/>
      <c r="V26" s="43" t="s">
        <v>50</v>
      </c>
      <c r="W26" s="43"/>
      <c r="X26" s="43"/>
      <c r="Y26" s="36" t="s">
        <v>91</v>
      </c>
      <c r="Z26" s="36" t="s">
        <v>92</v>
      </c>
      <c r="AA26" s="36" t="s">
        <v>93</v>
      </c>
    </row>
    <row r="27" spans="1:27" ht="42" x14ac:dyDescent="0.3">
      <c r="B27" s="15" t="s">
        <v>13</v>
      </c>
      <c r="C27" s="15" t="s">
        <v>37</v>
      </c>
      <c r="D27" s="15" t="s">
        <v>38</v>
      </c>
      <c r="E27" s="15" t="s">
        <v>14</v>
      </c>
      <c r="F27" s="15" t="s">
        <v>39</v>
      </c>
      <c r="G27" s="15" t="s">
        <v>40</v>
      </c>
      <c r="I27" s="15" t="s">
        <v>41</v>
      </c>
      <c r="J27" s="16" t="s">
        <v>42</v>
      </c>
      <c r="K27" s="16" t="s">
        <v>43</v>
      </c>
      <c r="L27" s="15" t="s">
        <v>15</v>
      </c>
      <c r="M27" s="15" t="s">
        <v>16</v>
      </c>
      <c r="N27" s="15" t="s">
        <v>44</v>
      </c>
      <c r="O27" s="15" t="s">
        <v>45</v>
      </c>
      <c r="P27" s="15" t="s">
        <v>17</v>
      </c>
      <c r="Q27" s="15" t="s">
        <v>18</v>
      </c>
      <c r="R27" s="17" t="s">
        <v>46</v>
      </c>
      <c r="S27" s="16" t="s">
        <v>19</v>
      </c>
      <c r="T27" s="16" t="s">
        <v>20</v>
      </c>
      <c r="U27" s="7"/>
      <c r="V27" s="16" t="s">
        <v>47</v>
      </c>
      <c r="W27" s="16" t="s">
        <v>48</v>
      </c>
      <c r="X27" s="16" t="s">
        <v>49</v>
      </c>
      <c r="Y27" s="36"/>
      <c r="Z27" s="37"/>
      <c r="AA27" s="37"/>
    </row>
    <row r="28" spans="1:27" x14ac:dyDescent="0.3">
      <c r="B28" s="13" t="s">
        <v>21</v>
      </c>
      <c r="C28" s="13"/>
      <c r="D28" s="13"/>
      <c r="E28" s="13"/>
      <c r="F28" s="27" t="s">
        <v>54</v>
      </c>
      <c r="G28" s="27" t="s">
        <v>55</v>
      </c>
      <c r="H28" s="27"/>
      <c r="I28" s="27"/>
      <c r="J28" s="27" t="s">
        <v>56</v>
      </c>
      <c r="K28" s="27" t="s">
        <v>57</v>
      </c>
      <c r="L28" s="27"/>
      <c r="M28" s="27"/>
      <c r="N28" s="27"/>
      <c r="O28" s="27"/>
      <c r="P28" s="27"/>
      <c r="Q28" s="27" t="s">
        <v>58</v>
      </c>
      <c r="R28" s="27" t="s">
        <v>59</v>
      </c>
      <c r="S28" s="27" t="s">
        <v>60</v>
      </c>
      <c r="T28" s="27" t="s">
        <v>61</v>
      </c>
      <c r="U28" s="27"/>
      <c r="V28" s="27" t="s">
        <v>62</v>
      </c>
      <c r="W28" s="27" t="s">
        <v>62</v>
      </c>
      <c r="X28" s="13"/>
      <c r="Y28" s="36"/>
      <c r="Z28" s="37"/>
      <c r="AA28" s="37"/>
    </row>
    <row r="29" spans="1:27" x14ac:dyDescent="0.3">
      <c r="B29" s="22" t="s">
        <v>63</v>
      </c>
      <c r="C29" s="22" t="s">
        <v>64</v>
      </c>
      <c r="D29" s="25" t="s">
        <v>65</v>
      </c>
      <c r="E29" s="22" t="s">
        <v>66</v>
      </c>
      <c r="F29" s="23">
        <v>150000</v>
      </c>
      <c r="G29" s="22">
        <v>15</v>
      </c>
      <c r="H29" s="22"/>
      <c r="I29" s="22" t="s">
        <v>67</v>
      </c>
      <c r="J29" s="23">
        <v>150000</v>
      </c>
      <c r="K29" s="23">
        <f>F29-J29</f>
        <v>0</v>
      </c>
      <c r="L29" s="29"/>
      <c r="M29" s="22" t="s">
        <v>9</v>
      </c>
      <c r="N29" s="22" t="s">
        <v>68</v>
      </c>
      <c r="O29" s="22">
        <v>77777</v>
      </c>
      <c r="P29" s="25" t="s">
        <v>97</v>
      </c>
      <c r="Q29" s="22">
        <v>15</v>
      </c>
      <c r="R29" s="29"/>
      <c r="S29" s="31">
        <f>F29-R29</f>
        <v>150000</v>
      </c>
      <c r="T29" s="22">
        <f>G29-Q29</f>
        <v>0</v>
      </c>
      <c r="U29" s="22"/>
      <c r="V29" s="22" t="str">
        <f>IF(P29&gt;$M$5,"YES 是","No 否")</f>
        <v>YES 是</v>
      </c>
      <c r="W29" s="22" t="s">
        <v>99</v>
      </c>
      <c r="X29" s="30"/>
      <c r="Y29" s="36"/>
      <c r="Z29" s="37"/>
      <c r="AA29" s="37"/>
    </row>
    <row r="30" spans="1:27" x14ac:dyDescent="0.3">
      <c r="B30" s="14">
        <v>1</v>
      </c>
      <c r="C30" s="14"/>
      <c r="D30" s="26"/>
      <c r="E30" s="14"/>
      <c r="F30" s="24"/>
      <c r="G30" s="14"/>
      <c r="H30" s="14"/>
      <c r="I30" s="14"/>
      <c r="J30" s="24"/>
      <c r="K30" s="24">
        <f t="shared" ref="K30:K48" si="0">F30-J30</f>
        <v>0</v>
      </c>
      <c r="L30" s="30"/>
      <c r="M30" s="22" t="s">
        <v>9</v>
      </c>
      <c r="N30" s="14" t="s">
        <v>98</v>
      </c>
      <c r="O30" s="14"/>
      <c r="P30" s="26"/>
      <c r="Q30" s="14"/>
      <c r="R30" s="30"/>
      <c r="S30" s="32">
        <f t="shared" ref="S30:S48" si="1">F30-R30</f>
        <v>0</v>
      </c>
      <c r="T30" s="14">
        <f t="shared" ref="T30:T48" si="2">G30-Q30</f>
        <v>0</v>
      </c>
      <c r="U30" s="14"/>
      <c r="V30" s="22" t="str">
        <f t="shared" ref="V30:V48" si="3">IF(P30&gt;$M$5,"YES 是","No 否")</f>
        <v>No 否</v>
      </c>
      <c r="W30" s="22" t="s">
        <v>99</v>
      </c>
      <c r="X30" s="30"/>
      <c r="Y30" s="36"/>
      <c r="Z30" s="37"/>
      <c r="AA30" s="37"/>
    </row>
    <row r="31" spans="1:27" x14ac:dyDescent="0.3">
      <c r="B31" s="14">
        <v>2</v>
      </c>
      <c r="C31" s="14"/>
      <c r="D31" s="26"/>
      <c r="E31" s="14"/>
      <c r="F31" s="24"/>
      <c r="G31" s="14"/>
      <c r="H31" s="14"/>
      <c r="I31" s="14"/>
      <c r="J31" s="24"/>
      <c r="K31" s="24">
        <f t="shared" si="0"/>
        <v>0</v>
      </c>
      <c r="L31" s="30"/>
      <c r="M31" s="22" t="s">
        <v>9</v>
      </c>
      <c r="N31" s="14" t="s">
        <v>98</v>
      </c>
      <c r="O31" s="14"/>
      <c r="P31" s="26"/>
      <c r="Q31" s="14"/>
      <c r="R31" s="30"/>
      <c r="S31" s="32">
        <f t="shared" si="1"/>
        <v>0</v>
      </c>
      <c r="T31" s="14">
        <f t="shared" si="2"/>
        <v>0</v>
      </c>
      <c r="U31" s="14"/>
      <c r="V31" s="22" t="str">
        <f t="shared" si="3"/>
        <v>No 否</v>
      </c>
      <c r="W31" s="22" t="s">
        <v>99</v>
      </c>
      <c r="X31" s="30"/>
      <c r="Y31" s="36"/>
      <c r="Z31" s="37"/>
      <c r="AA31" s="37"/>
    </row>
    <row r="32" spans="1:27" x14ac:dyDescent="0.3">
      <c r="B32" s="14">
        <v>3</v>
      </c>
      <c r="C32" s="14"/>
      <c r="D32" s="26"/>
      <c r="E32" s="14"/>
      <c r="F32" s="24"/>
      <c r="G32" s="14"/>
      <c r="H32" s="14"/>
      <c r="I32" s="14"/>
      <c r="J32" s="24"/>
      <c r="K32" s="24">
        <f t="shared" si="0"/>
        <v>0</v>
      </c>
      <c r="L32" s="30"/>
      <c r="M32" s="22" t="s">
        <v>9</v>
      </c>
      <c r="N32" s="14" t="s">
        <v>98</v>
      </c>
      <c r="O32" s="14"/>
      <c r="P32" s="26"/>
      <c r="Q32" s="14"/>
      <c r="R32" s="30"/>
      <c r="S32" s="32">
        <f t="shared" si="1"/>
        <v>0</v>
      </c>
      <c r="T32" s="14">
        <f t="shared" si="2"/>
        <v>0</v>
      </c>
      <c r="U32" s="14"/>
      <c r="V32" s="22" t="str">
        <f t="shared" si="3"/>
        <v>No 否</v>
      </c>
      <c r="W32" s="22" t="s">
        <v>99</v>
      </c>
      <c r="X32" s="30"/>
      <c r="Y32" s="36"/>
      <c r="Z32" s="37"/>
      <c r="AA32" s="37"/>
    </row>
    <row r="33" spans="2:27" x14ac:dyDescent="0.3">
      <c r="B33" s="14">
        <v>4</v>
      </c>
      <c r="C33" s="14"/>
      <c r="D33" s="26"/>
      <c r="E33" s="14"/>
      <c r="F33" s="24"/>
      <c r="G33" s="14"/>
      <c r="H33" s="14"/>
      <c r="I33" s="14"/>
      <c r="J33" s="24"/>
      <c r="K33" s="24">
        <f t="shared" si="0"/>
        <v>0</v>
      </c>
      <c r="L33" s="30"/>
      <c r="M33" s="22" t="s">
        <v>9</v>
      </c>
      <c r="N33" s="14" t="s">
        <v>98</v>
      </c>
      <c r="O33" s="14"/>
      <c r="P33" s="26"/>
      <c r="Q33" s="14"/>
      <c r="R33" s="30"/>
      <c r="S33" s="32">
        <f t="shared" si="1"/>
        <v>0</v>
      </c>
      <c r="T33" s="14">
        <f t="shared" si="2"/>
        <v>0</v>
      </c>
      <c r="U33" s="14"/>
      <c r="V33" s="22" t="str">
        <f t="shared" si="3"/>
        <v>No 否</v>
      </c>
      <c r="W33" s="22" t="s">
        <v>99</v>
      </c>
      <c r="X33" s="30"/>
    </row>
    <row r="34" spans="2:27" ht="14" customHeight="1" x14ac:dyDescent="0.3">
      <c r="B34" s="14">
        <v>5</v>
      </c>
      <c r="C34" s="14"/>
      <c r="D34" s="26"/>
      <c r="E34" s="14"/>
      <c r="F34" s="24"/>
      <c r="G34" s="14"/>
      <c r="H34" s="14"/>
      <c r="I34" s="14"/>
      <c r="J34" s="24"/>
      <c r="K34" s="24">
        <f t="shared" si="0"/>
        <v>0</v>
      </c>
      <c r="L34" s="30"/>
      <c r="M34" s="22" t="s">
        <v>9</v>
      </c>
      <c r="N34" s="14" t="s">
        <v>98</v>
      </c>
      <c r="O34" s="14"/>
      <c r="P34" s="26"/>
      <c r="Q34" s="14"/>
      <c r="R34" s="30"/>
      <c r="S34" s="32">
        <f t="shared" si="1"/>
        <v>0</v>
      </c>
      <c r="T34" s="14">
        <f t="shared" si="2"/>
        <v>0</v>
      </c>
      <c r="U34" s="14"/>
      <c r="V34" s="22" t="str">
        <f t="shared" si="3"/>
        <v>No 否</v>
      </c>
      <c r="W34" s="22" t="s">
        <v>99</v>
      </c>
      <c r="X34" s="30"/>
      <c r="Y34" s="33" t="s">
        <v>94</v>
      </c>
      <c r="Z34" s="34"/>
      <c r="AA34" s="34"/>
    </row>
    <row r="35" spans="2:27" x14ac:dyDescent="0.3">
      <c r="B35" s="14">
        <v>6</v>
      </c>
      <c r="C35" s="14"/>
      <c r="D35" s="26"/>
      <c r="E35" s="14"/>
      <c r="F35" s="24"/>
      <c r="G35" s="14"/>
      <c r="H35" s="14"/>
      <c r="I35" s="14"/>
      <c r="J35" s="24"/>
      <c r="K35" s="24">
        <f t="shared" si="0"/>
        <v>0</v>
      </c>
      <c r="L35" s="30"/>
      <c r="M35" s="22" t="s">
        <v>9</v>
      </c>
      <c r="N35" s="14" t="s">
        <v>98</v>
      </c>
      <c r="O35" s="14"/>
      <c r="P35" s="26"/>
      <c r="Q35" s="14"/>
      <c r="R35" s="30"/>
      <c r="S35" s="32">
        <f>F35-R35</f>
        <v>0</v>
      </c>
      <c r="T35" s="14">
        <f t="shared" si="2"/>
        <v>0</v>
      </c>
      <c r="U35" s="14"/>
      <c r="V35" s="22" t="str">
        <f t="shared" si="3"/>
        <v>No 否</v>
      </c>
      <c r="W35" s="22" t="s">
        <v>99</v>
      </c>
      <c r="X35" s="30"/>
      <c r="Y35" s="33"/>
      <c r="Z35" s="34"/>
      <c r="AA35" s="34"/>
    </row>
    <row r="36" spans="2:27" x14ac:dyDescent="0.3">
      <c r="B36" s="14">
        <v>7</v>
      </c>
      <c r="C36" s="14"/>
      <c r="D36" s="26"/>
      <c r="E36" s="14"/>
      <c r="F36" s="24"/>
      <c r="G36" s="14"/>
      <c r="H36" s="14"/>
      <c r="I36" s="14"/>
      <c r="J36" s="24"/>
      <c r="K36" s="24">
        <f t="shared" si="0"/>
        <v>0</v>
      </c>
      <c r="L36" s="30"/>
      <c r="M36" s="22" t="s">
        <v>9</v>
      </c>
      <c r="N36" s="14" t="s">
        <v>98</v>
      </c>
      <c r="O36" s="14"/>
      <c r="P36" s="26"/>
      <c r="Q36" s="14"/>
      <c r="R36" s="30"/>
      <c r="S36" s="32">
        <f t="shared" si="1"/>
        <v>0</v>
      </c>
      <c r="T36" s="14">
        <f t="shared" si="2"/>
        <v>0</v>
      </c>
      <c r="U36" s="14"/>
      <c r="V36" s="22" t="str">
        <f t="shared" si="3"/>
        <v>No 否</v>
      </c>
      <c r="W36" s="22" t="s">
        <v>99</v>
      </c>
      <c r="X36" s="30"/>
      <c r="Y36" s="33"/>
      <c r="Z36" s="34"/>
      <c r="AA36" s="34"/>
    </row>
    <row r="37" spans="2:27" x14ac:dyDescent="0.3">
      <c r="B37" s="14">
        <v>8</v>
      </c>
      <c r="C37" s="14"/>
      <c r="D37" s="26"/>
      <c r="E37" s="14"/>
      <c r="F37" s="24"/>
      <c r="G37" s="14"/>
      <c r="H37" s="14"/>
      <c r="I37" s="14"/>
      <c r="J37" s="24"/>
      <c r="K37" s="24">
        <f t="shared" si="0"/>
        <v>0</v>
      </c>
      <c r="L37" s="30"/>
      <c r="M37" s="22" t="s">
        <v>9</v>
      </c>
      <c r="N37" s="14" t="s">
        <v>98</v>
      </c>
      <c r="O37" s="14"/>
      <c r="P37" s="26"/>
      <c r="Q37" s="14"/>
      <c r="R37" s="30"/>
      <c r="S37" s="32">
        <f t="shared" si="1"/>
        <v>0</v>
      </c>
      <c r="T37" s="14">
        <f t="shared" si="2"/>
        <v>0</v>
      </c>
      <c r="U37" s="14"/>
      <c r="V37" s="22" t="str">
        <f t="shared" si="3"/>
        <v>No 否</v>
      </c>
      <c r="W37" s="22" t="s">
        <v>99</v>
      </c>
      <c r="X37" s="30"/>
      <c r="Y37" s="33"/>
      <c r="Z37" s="34"/>
      <c r="AA37" s="34"/>
    </row>
    <row r="38" spans="2:27" x14ac:dyDescent="0.3">
      <c r="B38" s="14">
        <v>9</v>
      </c>
      <c r="C38" s="14"/>
      <c r="D38" s="26"/>
      <c r="E38" s="14"/>
      <c r="F38" s="24"/>
      <c r="G38" s="14"/>
      <c r="H38" s="14"/>
      <c r="I38" s="14"/>
      <c r="J38" s="24"/>
      <c r="K38" s="24">
        <f t="shared" si="0"/>
        <v>0</v>
      </c>
      <c r="L38" s="30"/>
      <c r="M38" s="22" t="s">
        <v>9</v>
      </c>
      <c r="N38" s="14" t="s">
        <v>98</v>
      </c>
      <c r="O38" s="14"/>
      <c r="P38" s="26"/>
      <c r="Q38" s="14"/>
      <c r="R38" s="30"/>
      <c r="S38" s="32">
        <f t="shared" si="1"/>
        <v>0</v>
      </c>
      <c r="T38" s="14">
        <f t="shared" si="2"/>
        <v>0</v>
      </c>
      <c r="U38" s="14"/>
      <c r="V38" s="22" t="str">
        <f t="shared" si="3"/>
        <v>No 否</v>
      </c>
      <c r="W38" s="22" t="s">
        <v>99</v>
      </c>
      <c r="X38" s="30"/>
      <c r="Y38" s="33"/>
      <c r="Z38" s="34"/>
      <c r="AA38" s="34"/>
    </row>
    <row r="39" spans="2:27" x14ac:dyDescent="0.3">
      <c r="B39" s="14">
        <v>10</v>
      </c>
      <c r="C39" s="14"/>
      <c r="D39" s="26"/>
      <c r="E39" s="14"/>
      <c r="F39" s="24"/>
      <c r="G39" s="14"/>
      <c r="H39" s="14"/>
      <c r="I39" s="14"/>
      <c r="J39" s="24"/>
      <c r="K39" s="24">
        <f t="shared" si="0"/>
        <v>0</v>
      </c>
      <c r="L39" s="30"/>
      <c r="M39" s="22" t="s">
        <v>9</v>
      </c>
      <c r="N39" s="14" t="s">
        <v>98</v>
      </c>
      <c r="O39" s="14"/>
      <c r="P39" s="26"/>
      <c r="Q39" s="14"/>
      <c r="R39" s="30"/>
      <c r="S39" s="32">
        <f t="shared" si="1"/>
        <v>0</v>
      </c>
      <c r="T39" s="14">
        <f t="shared" si="2"/>
        <v>0</v>
      </c>
      <c r="U39" s="14"/>
      <c r="V39" s="22" t="str">
        <f t="shared" si="3"/>
        <v>No 否</v>
      </c>
      <c r="W39" s="22" t="s">
        <v>99</v>
      </c>
      <c r="X39" s="30"/>
      <c r="Y39" s="33"/>
      <c r="Z39" s="34"/>
      <c r="AA39" s="34"/>
    </row>
    <row r="40" spans="2:27" x14ac:dyDescent="0.3">
      <c r="B40" s="14">
        <v>11</v>
      </c>
      <c r="C40" s="14"/>
      <c r="D40" s="26"/>
      <c r="E40" s="14"/>
      <c r="F40" s="24"/>
      <c r="G40" s="14"/>
      <c r="H40" s="14"/>
      <c r="I40" s="14"/>
      <c r="J40" s="24"/>
      <c r="K40" s="24">
        <f t="shared" si="0"/>
        <v>0</v>
      </c>
      <c r="L40" s="30"/>
      <c r="M40" s="22" t="s">
        <v>9</v>
      </c>
      <c r="N40" s="14" t="s">
        <v>98</v>
      </c>
      <c r="O40" s="14"/>
      <c r="P40" s="26"/>
      <c r="Q40" s="14"/>
      <c r="R40" s="30"/>
      <c r="S40" s="32">
        <f t="shared" si="1"/>
        <v>0</v>
      </c>
      <c r="T40" s="14">
        <f t="shared" si="2"/>
        <v>0</v>
      </c>
      <c r="U40" s="14"/>
      <c r="V40" s="22" t="str">
        <f t="shared" si="3"/>
        <v>No 否</v>
      </c>
      <c r="W40" s="22" t="s">
        <v>99</v>
      </c>
      <c r="X40" s="30"/>
      <c r="Y40" s="33"/>
      <c r="Z40" s="34"/>
      <c r="AA40" s="34"/>
    </row>
    <row r="41" spans="2:27" x14ac:dyDescent="0.3">
      <c r="B41" s="14">
        <v>12</v>
      </c>
      <c r="C41" s="14"/>
      <c r="D41" s="26"/>
      <c r="E41" s="14"/>
      <c r="F41" s="24"/>
      <c r="G41" s="14"/>
      <c r="H41" s="14"/>
      <c r="I41" s="14"/>
      <c r="J41" s="24"/>
      <c r="K41" s="24">
        <f t="shared" si="0"/>
        <v>0</v>
      </c>
      <c r="L41" s="30"/>
      <c r="M41" s="22" t="s">
        <v>9</v>
      </c>
      <c r="N41" s="14" t="s">
        <v>98</v>
      </c>
      <c r="O41" s="14"/>
      <c r="P41" s="26"/>
      <c r="Q41" s="14"/>
      <c r="R41" s="30"/>
      <c r="S41" s="32">
        <f t="shared" si="1"/>
        <v>0</v>
      </c>
      <c r="T41" s="14">
        <f t="shared" si="2"/>
        <v>0</v>
      </c>
      <c r="U41" s="14"/>
      <c r="V41" s="22" t="str">
        <f t="shared" si="3"/>
        <v>No 否</v>
      </c>
      <c r="W41" s="22" t="s">
        <v>99</v>
      </c>
      <c r="X41" s="30"/>
      <c r="Y41" s="33"/>
      <c r="Z41" s="34"/>
      <c r="AA41" s="34"/>
    </row>
    <row r="42" spans="2:27" x14ac:dyDescent="0.3">
      <c r="B42" s="14">
        <v>13</v>
      </c>
      <c r="C42" s="14"/>
      <c r="D42" s="26"/>
      <c r="E42" s="14"/>
      <c r="F42" s="24"/>
      <c r="G42" s="14"/>
      <c r="H42" s="14"/>
      <c r="I42" s="14"/>
      <c r="J42" s="24"/>
      <c r="K42" s="24">
        <f t="shared" si="0"/>
        <v>0</v>
      </c>
      <c r="L42" s="30"/>
      <c r="M42" s="22" t="s">
        <v>9</v>
      </c>
      <c r="N42" s="14" t="s">
        <v>98</v>
      </c>
      <c r="O42" s="14"/>
      <c r="P42" s="26"/>
      <c r="Q42" s="14"/>
      <c r="R42" s="30"/>
      <c r="S42" s="32">
        <f t="shared" si="1"/>
        <v>0</v>
      </c>
      <c r="T42" s="14">
        <f t="shared" si="2"/>
        <v>0</v>
      </c>
      <c r="U42" s="14"/>
      <c r="V42" s="22" t="str">
        <f t="shared" si="3"/>
        <v>No 否</v>
      </c>
      <c r="W42" s="22" t="s">
        <v>99</v>
      </c>
      <c r="X42" s="30"/>
      <c r="Y42" s="33"/>
      <c r="Z42" s="34"/>
      <c r="AA42" s="34"/>
    </row>
    <row r="43" spans="2:27" x14ac:dyDescent="0.3">
      <c r="B43" s="14">
        <v>14</v>
      </c>
      <c r="C43" s="14"/>
      <c r="D43" s="26"/>
      <c r="E43" s="14"/>
      <c r="F43" s="24"/>
      <c r="G43" s="14"/>
      <c r="H43" s="14"/>
      <c r="I43" s="14"/>
      <c r="J43" s="24"/>
      <c r="K43" s="24">
        <f t="shared" si="0"/>
        <v>0</v>
      </c>
      <c r="L43" s="30"/>
      <c r="M43" s="22" t="s">
        <v>9</v>
      </c>
      <c r="N43" s="14" t="s">
        <v>98</v>
      </c>
      <c r="O43" s="14"/>
      <c r="P43" s="26"/>
      <c r="Q43" s="14"/>
      <c r="R43" s="30"/>
      <c r="S43" s="32">
        <f t="shared" si="1"/>
        <v>0</v>
      </c>
      <c r="T43" s="14">
        <f t="shared" si="2"/>
        <v>0</v>
      </c>
      <c r="U43" s="14"/>
      <c r="V43" s="22" t="str">
        <f t="shared" si="3"/>
        <v>No 否</v>
      </c>
      <c r="W43" s="22" t="s">
        <v>99</v>
      </c>
      <c r="X43" s="30"/>
      <c r="Y43" s="33"/>
      <c r="Z43" s="34"/>
      <c r="AA43" s="34"/>
    </row>
    <row r="44" spans="2:27" x14ac:dyDescent="0.3">
      <c r="B44" s="14">
        <v>15</v>
      </c>
      <c r="C44" s="14"/>
      <c r="D44" s="26"/>
      <c r="E44" s="14"/>
      <c r="F44" s="24"/>
      <c r="G44" s="14"/>
      <c r="H44" s="14"/>
      <c r="I44" s="14"/>
      <c r="J44" s="24"/>
      <c r="K44" s="24">
        <f t="shared" si="0"/>
        <v>0</v>
      </c>
      <c r="L44" s="30"/>
      <c r="M44" s="22" t="s">
        <v>9</v>
      </c>
      <c r="N44" s="14" t="s">
        <v>98</v>
      </c>
      <c r="O44" s="14"/>
      <c r="P44" s="26"/>
      <c r="Q44" s="14"/>
      <c r="R44" s="30"/>
      <c r="S44" s="32">
        <f t="shared" si="1"/>
        <v>0</v>
      </c>
      <c r="T44" s="14">
        <f t="shared" si="2"/>
        <v>0</v>
      </c>
      <c r="U44" s="14"/>
      <c r="V44" s="22" t="str">
        <f t="shared" si="3"/>
        <v>No 否</v>
      </c>
      <c r="W44" s="22" t="s">
        <v>99</v>
      </c>
      <c r="X44" s="30"/>
      <c r="Y44" s="33"/>
      <c r="Z44" s="34"/>
      <c r="AA44" s="34"/>
    </row>
    <row r="45" spans="2:27" x14ac:dyDescent="0.3">
      <c r="B45" s="14">
        <v>16</v>
      </c>
      <c r="C45" s="14"/>
      <c r="D45" s="26"/>
      <c r="E45" s="14"/>
      <c r="F45" s="24"/>
      <c r="G45" s="14"/>
      <c r="H45" s="14"/>
      <c r="I45" s="14"/>
      <c r="J45" s="24"/>
      <c r="K45" s="24">
        <f t="shared" si="0"/>
        <v>0</v>
      </c>
      <c r="L45" s="30"/>
      <c r="M45" s="22" t="s">
        <v>9</v>
      </c>
      <c r="N45" s="14" t="s">
        <v>98</v>
      </c>
      <c r="O45" s="14"/>
      <c r="P45" s="26"/>
      <c r="Q45" s="14"/>
      <c r="R45" s="30"/>
      <c r="S45" s="32">
        <f t="shared" si="1"/>
        <v>0</v>
      </c>
      <c r="T45" s="14">
        <f t="shared" si="2"/>
        <v>0</v>
      </c>
      <c r="U45" s="14"/>
      <c r="V45" s="22" t="str">
        <f t="shared" si="3"/>
        <v>No 否</v>
      </c>
      <c r="W45" s="22" t="s">
        <v>99</v>
      </c>
      <c r="X45" s="30"/>
      <c r="Y45" s="33"/>
      <c r="Z45" s="34"/>
      <c r="AA45" s="34"/>
    </row>
    <row r="46" spans="2:27" x14ac:dyDescent="0.3">
      <c r="B46" s="14">
        <v>17</v>
      </c>
      <c r="C46" s="14"/>
      <c r="D46" s="26"/>
      <c r="E46" s="14"/>
      <c r="F46" s="24"/>
      <c r="G46" s="14"/>
      <c r="H46" s="14"/>
      <c r="I46" s="14"/>
      <c r="J46" s="24"/>
      <c r="K46" s="24">
        <f t="shared" si="0"/>
        <v>0</v>
      </c>
      <c r="L46" s="30"/>
      <c r="M46" s="22" t="s">
        <v>9</v>
      </c>
      <c r="N46" s="14" t="s">
        <v>98</v>
      </c>
      <c r="O46" s="14"/>
      <c r="P46" s="26"/>
      <c r="Q46" s="14"/>
      <c r="R46" s="30"/>
      <c r="S46" s="32">
        <f t="shared" si="1"/>
        <v>0</v>
      </c>
      <c r="T46" s="14">
        <f t="shared" si="2"/>
        <v>0</v>
      </c>
      <c r="U46" s="14"/>
      <c r="V46" s="22" t="str">
        <f t="shared" si="3"/>
        <v>No 否</v>
      </c>
      <c r="W46" s="22" t="s">
        <v>99</v>
      </c>
      <c r="X46" s="30"/>
      <c r="Y46" s="33"/>
      <c r="Z46" s="34"/>
      <c r="AA46" s="34"/>
    </row>
    <row r="47" spans="2:27" x14ac:dyDescent="0.3">
      <c r="B47" s="14">
        <v>18</v>
      </c>
      <c r="C47" s="14"/>
      <c r="D47" s="26"/>
      <c r="E47" s="14"/>
      <c r="F47" s="24"/>
      <c r="G47" s="14"/>
      <c r="H47" s="14"/>
      <c r="I47" s="14"/>
      <c r="J47" s="24"/>
      <c r="K47" s="24">
        <f t="shared" si="0"/>
        <v>0</v>
      </c>
      <c r="L47" s="30"/>
      <c r="M47" s="22" t="s">
        <v>9</v>
      </c>
      <c r="N47" s="14" t="s">
        <v>98</v>
      </c>
      <c r="O47" s="14"/>
      <c r="P47" s="26"/>
      <c r="Q47" s="14"/>
      <c r="R47" s="30"/>
      <c r="S47" s="32">
        <f t="shared" si="1"/>
        <v>0</v>
      </c>
      <c r="T47" s="14">
        <f t="shared" si="2"/>
        <v>0</v>
      </c>
      <c r="U47" s="14"/>
      <c r="V47" s="22" t="str">
        <f t="shared" si="3"/>
        <v>No 否</v>
      </c>
      <c r="W47" s="22" t="s">
        <v>99</v>
      </c>
      <c r="X47" s="30"/>
      <c r="Y47" s="33"/>
      <c r="Z47" s="34"/>
      <c r="AA47" s="34"/>
    </row>
    <row r="48" spans="2:27" x14ac:dyDescent="0.3">
      <c r="B48" s="14">
        <v>19</v>
      </c>
      <c r="C48" s="14"/>
      <c r="D48" s="26"/>
      <c r="E48" s="14"/>
      <c r="F48" s="24"/>
      <c r="G48" s="14"/>
      <c r="H48" s="14"/>
      <c r="I48" s="14"/>
      <c r="J48" s="24"/>
      <c r="K48" s="24">
        <f t="shared" si="0"/>
        <v>0</v>
      </c>
      <c r="L48" s="30"/>
      <c r="M48" s="22" t="s">
        <v>9</v>
      </c>
      <c r="N48" s="14" t="s">
        <v>98</v>
      </c>
      <c r="O48" s="14"/>
      <c r="P48" s="26"/>
      <c r="Q48" s="14"/>
      <c r="R48" s="30"/>
      <c r="S48" s="32">
        <f t="shared" si="1"/>
        <v>0</v>
      </c>
      <c r="T48" s="14">
        <f t="shared" si="2"/>
        <v>0</v>
      </c>
      <c r="U48" s="14"/>
      <c r="V48" s="22" t="str">
        <f t="shared" si="3"/>
        <v>No 否</v>
      </c>
      <c r="W48" s="22" t="s">
        <v>99</v>
      </c>
      <c r="X48" s="30"/>
      <c r="Y48" s="33"/>
      <c r="Z48" s="34"/>
      <c r="AA48" s="34"/>
    </row>
    <row r="49" spans="2:27" x14ac:dyDescent="0.3">
      <c r="B49" s="13"/>
      <c r="C49" s="13"/>
      <c r="D49" s="13"/>
      <c r="E49" s="13"/>
      <c r="F49" s="13"/>
      <c r="G49" s="13"/>
      <c r="H49" s="13"/>
      <c r="I49" s="13"/>
      <c r="J49" s="13"/>
      <c r="K49" s="13"/>
      <c r="L49" s="13"/>
      <c r="M49" s="13"/>
      <c r="N49" s="13"/>
      <c r="O49" s="13"/>
      <c r="P49" s="13"/>
      <c r="Q49" s="13"/>
      <c r="R49" s="13"/>
      <c r="S49" s="13"/>
      <c r="T49" s="13"/>
      <c r="U49" s="13"/>
      <c r="V49" s="13"/>
      <c r="W49" s="13"/>
      <c r="X49" s="13"/>
    </row>
    <row r="50" spans="2:27" x14ac:dyDescent="0.3">
      <c r="B50" s="3" t="s">
        <v>22</v>
      </c>
      <c r="C50" s="1"/>
      <c r="D50" s="1"/>
      <c r="E50" s="1"/>
      <c r="F50" s="1"/>
      <c r="G50" s="1"/>
      <c r="H50" s="1"/>
      <c r="I50" s="1"/>
      <c r="J50" s="1"/>
      <c r="K50" s="1"/>
      <c r="L50" s="1"/>
      <c r="M50" s="1"/>
      <c r="N50" s="1"/>
      <c r="O50" s="1"/>
      <c r="P50" s="1"/>
      <c r="Q50" s="1"/>
      <c r="R50" s="1"/>
      <c r="S50" s="1"/>
      <c r="T50" s="1"/>
      <c r="U50" s="1"/>
      <c r="V50" s="1"/>
      <c r="W50" s="1"/>
      <c r="X50" s="1"/>
    </row>
    <row r="51" spans="2:27" ht="130" customHeight="1" x14ac:dyDescent="0.3">
      <c r="B51" t="s">
        <v>23</v>
      </c>
      <c r="Y51" s="34" t="s">
        <v>95</v>
      </c>
      <c r="Z51" s="34"/>
      <c r="AA51" s="34"/>
    </row>
    <row r="52" spans="2:27" ht="130" customHeight="1" x14ac:dyDescent="0.3">
      <c r="B52" t="s">
        <v>24</v>
      </c>
      <c r="Y52" s="34"/>
      <c r="Z52" s="34"/>
      <c r="AA52" s="34"/>
    </row>
  </sheetData>
  <mergeCells count="17">
    <mergeCell ref="V26:X26"/>
    <mergeCell ref="S26:T26"/>
    <mergeCell ref="N26:R26"/>
    <mergeCell ref="I26:M26"/>
    <mergeCell ref="C26:G26"/>
    <mergeCell ref="B23:B24"/>
    <mergeCell ref="C5:D5"/>
    <mergeCell ref="B13:D13"/>
    <mergeCell ref="B15:D15"/>
    <mergeCell ref="C23:X24"/>
    <mergeCell ref="G5:H5"/>
    <mergeCell ref="Y34:AA48"/>
    <mergeCell ref="Y51:AA52"/>
    <mergeCell ref="Y4:AB5"/>
    <mergeCell ref="Y26:Y32"/>
    <mergeCell ref="Z26:Z32"/>
    <mergeCell ref="AA26:AA32"/>
  </mergeCells>
  <phoneticPr fontId="2" type="noConversion"/>
  <dataValidations count="3">
    <dataValidation type="list" allowBlank="1" showInputMessage="1" showErrorMessage="1" sqref="E13" xr:uid="{C96FE3AC-412B-4521-959F-24C0A502464C}">
      <formula1>"客户自提,签收确认,验收确认,外销-FCA货交承运人,外销-FOB离岸价格,外销-CIF成本加保险费、运费,外销-CIP运费、保险费付至指定目的地,外销-DDP完税后交货"</formula1>
    </dataValidation>
    <dataValidation type="list" allowBlank="1" showInputMessage="1" showErrorMessage="1" sqref="E14:E15" xr:uid="{348F7CA2-A2A5-49BB-B2D6-DE2FAB31C6C8}">
      <formula1>"YES 是,No 否"</formula1>
    </dataValidation>
    <dataValidation type="list" allowBlank="1" showInputMessage="1" showErrorMessage="1" sqref="W29:W48" xr:uid="{B41531ED-3ED1-45AD-B9AD-00B68FF84008}">
      <formula1>"YES 是,No Document the details of exception identified and further testing steps. 否，记录异常的详细信息和进一步测试"</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奕扬 陈</dc:creator>
  <cp:lastModifiedBy>奕扬 陈</cp:lastModifiedBy>
  <dcterms:created xsi:type="dcterms:W3CDTF">2026-07-28T03:13:39Z</dcterms:created>
  <dcterms:modified xsi:type="dcterms:W3CDTF">2026-08-05T03:51:52Z</dcterms:modified>
</cp:coreProperties>
</file>