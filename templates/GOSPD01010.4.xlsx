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ZhuanZ（无密码）\Desktop\"/>
    </mc:Choice>
  </mc:AlternateContent>
  <xr:revisionPtr revIDLastSave="0" documentId="13_ncr:1_{5878C7C2-64FD-4841-99DD-2EAE9BC7FE2E}" xr6:coauthVersionLast="47" xr6:coauthVersionMax="47" xr10:uidLastSave="{00000000-0000-0000-0000-000000000000}"/>
  <bookViews>
    <workbookView xWindow="-110" yWindow="-110" windowWidth="21820" windowHeight="13900" xr2:uid="{3281EFFD-0EB3-4FBC-A3F0-4CE4417DA13F}"/>
  </bookViews>
  <sheets>
    <sheet name="Sheet1" sheetId="1" r:id="rId1"/>
    <sheet name="底稿须知"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0" i="1" l="1"/>
  <c r="S22" i="1"/>
  <c r="S21" i="1"/>
  <c r="U20" i="1"/>
  <c r="U21" i="1"/>
  <c r="U22" i="1"/>
  <c r="U23" i="1"/>
  <c r="U24" i="1"/>
  <c r="U25" i="1"/>
  <c r="U26" i="1"/>
  <c r="U27" i="1"/>
  <c r="U28" i="1"/>
  <c r="U29" i="1"/>
  <c r="U30" i="1"/>
  <c r="U31" i="1"/>
  <c r="U32" i="1"/>
  <c r="U33" i="1"/>
  <c r="U34" i="1"/>
  <c r="U35" i="1"/>
  <c r="U36" i="1"/>
  <c r="U37" i="1"/>
  <c r="U38" i="1"/>
  <c r="U39" i="1"/>
  <c r="U40" i="1"/>
  <c r="U41" i="1"/>
  <c r="S19" i="1"/>
  <c r="T19" i="1" s="1"/>
  <c r="U19" i="1" s="1"/>
</calcChain>
</file>

<file path=xl/sharedStrings.xml><?xml version="1.0" encoding="utf-8"?>
<sst xmlns="http://schemas.openxmlformats.org/spreadsheetml/2006/main" count="193" uniqueCount="100">
  <si>
    <t>（本实质性程序模板用于抽凭检查期内过账的销售。）</t>
    <phoneticPr fontId="2" type="noConversion"/>
  </si>
  <si>
    <t>被审计单位名称</t>
    <phoneticPr fontId="2" type="noConversion"/>
  </si>
  <si>
    <t>程序索引号</t>
    <phoneticPr fontId="2" type="noConversion"/>
  </si>
  <si>
    <t>币种</t>
    <phoneticPr fontId="2" type="noConversion"/>
  </si>
  <si>
    <t>单位</t>
    <phoneticPr fontId="2" type="noConversion"/>
  </si>
  <si>
    <t>人民币</t>
    <phoneticPr fontId="2" type="noConversion"/>
  </si>
  <si>
    <t>Yuan 元</t>
    <phoneticPr fontId="2" type="noConversion"/>
  </si>
  <si>
    <t>注意事项</t>
    <phoneticPr fontId="2" type="noConversion"/>
  </si>
  <si>
    <t>—测试步骤是指工作流程工作屏中列出的本程序相关步骤,如需增加测试步骤,请根据需要增加表格的行数和列数。</t>
    <phoneticPr fontId="2" type="noConversion"/>
  </si>
  <si>
    <t>—如果实质性程序的样本量超过下表行数，请进行复制粘贴（而非插入空格行）以确保公式和列表选项覆盖所有行</t>
    <phoneticPr fontId="2" type="noConversion"/>
  </si>
  <si>
    <t>样本编号</t>
    <phoneticPr fontId="2" type="noConversion"/>
  </si>
  <si>
    <t>会计分录编号</t>
    <phoneticPr fontId="2" type="noConversion"/>
  </si>
  <si>
    <t>客户名称</t>
    <phoneticPr fontId="2" type="noConversion"/>
  </si>
  <si>
    <t>合同索引号</t>
    <phoneticPr fontId="2" type="noConversion"/>
  </si>
  <si>
    <t>Formula Key</t>
    <phoneticPr fontId="2" type="noConversion"/>
  </si>
  <si>
    <t>注释：</t>
    <phoneticPr fontId="2" type="noConversion"/>
  </si>
  <si>
    <t>— 本程序模板的设计基于以下假设:本程序的相关考虑事项将恰当记录于与本程序有关的工作流程工作屏中,除非它们已由本程序模板直接应对。</t>
    <phoneticPr fontId="2" type="noConversion"/>
  </si>
  <si>
    <t>— 项目组应根据自主添加的任何实质性程序步骤和/或通过执行这些步骤获取的结果，确定是否需在本程序模板中添加额外的标记、其他注释及/威其他信息。</t>
    <phoneticPr fontId="2" type="noConversion"/>
  </si>
  <si>
    <t>检查其他相关文件确定交易价格，若适用</t>
    <phoneticPr fontId="2" type="noConversion"/>
  </si>
  <si>
    <t>其他相关文件类型</t>
    <phoneticPr fontId="2" type="noConversion"/>
  </si>
  <si>
    <t>其他相关文件索引号</t>
    <phoneticPr fontId="2" type="noConversion"/>
  </si>
  <si>
    <t>测试步骤</t>
    <phoneticPr fontId="2" type="noConversion"/>
  </si>
  <si>
    <t>XXX</t>
    <phoneticPr fontId="2" type="noConversion"/>
  </si>
  <si>
    <t>ABC公司</t>
    <phoneticPr fontId="2" type="noConversion"/>
  </si>
  <si>
    <t>YES 是</t>
    <phoneticPr fontId="2" type="noConversion"/>
  </si>
  <si>
    <t>Guidance</t>
    <phoneticPr fontId="2" type="noConversion"/>
  </si>
  <si>
    <t>是否已适当确定交易价格？</t>
    <phoneticPr fontId="2" type="noConversion"/>
  </si>
  <si>
    <t>异常的详细信息和进一步测试</t>
    <phoneticPr fontId="2" type="noConversion"/>
  </si>
  <si>
    <t>No Document the details of exception identified and further testing steps.否,记录异常的详细信息和进一步测试</t>
    <phoneticPr fontId="2" type="noConversion"/>
  </si>
  <si>
    <t>GOSPD01010.3测试步骤（请展开）：</t>
    <phoneticPr fontId="2" type="noConversion"/>
  </si>
  <si>
    <t>获取被审计单位对合同交易价格的计算，并检查合同协议和其他相关文件，以确定管理层是否已适当确定交易价格。</t>
    <phoneticPr fontId="2" type="noConversion"/>
  </si>
  <si>
    <t>整个期间的收入-检查和评价（仅为错报风险程序-115.2.13的应对程序）</t>
    <phoneticPr fontId="2" type="noConversion"/>
  </si>
  <si>
    <t>GOSPD01010.4</t>
    <phoneticPr fontId="2" type="noConversion"/>
  </si>
  <si>
    <t>获取被审计单位对交易价格分摊的计算。
检查分摊计算中所用的单独售价(SSP)至相关文件。
评价是否满足把折扣或可变对价分摊至一项或多项(但并非全部)履约义务的标准。
如果不满足标准，重新计算交易价格是否已按其单独售价的比例，准确分摊至每项履约义务，或
如果满足把折扣或可变对价分摊至一项或多项(但并非全部)履约又务的标准，则重新计算交易价格是否已准确分摊至每项履约义务。
评估收入金额是否已准确确认。</t>
    <phoneticPr fontId="2" type="noConversion"/>
  </si>
  <si>
    <t>日期</t>
    <phoneticPr fontId="2" type="noConversion"/>
  </si>
  <si>
    <t>已入账金额</t>
    <phoneticPr fontId="2" type="noConversion"/>
  </si>
  <si>
    <t>总销售金额</t>
    <phoneticPr fontId="2" type="noConversion"/>
  </si>
  <si>
    <t>折扣或可变对价金额</t>
    <phoneticPr fontId="2" type="noConversion"/>
  </si>
  <si>
    <t>履约义务</t>
    <phoneticPr fontId="2" type="noConversion"/>
  </si>
  <si>
    <t>单独售价</t>
    <phoneticPr fontId="2" type="noConversion"/>
  </si>
  <si>
    <t>相关文件类型</t>
    <phoneticPr fontId="2" type="noConversion"/>
  </si>
  <si>
    <t>相关文件编号</t>
    <phoneticPr fontId="2" type="noConversion"/>
  </si>
  <si>
    <t>记录主要合同条款</t>
    <phoneticPr fontId="2" type="noConversion"/>
  </si>
  <si>
    <t>是否满足把折扣或可变对价分摊至一项或多项（但并非全部）履约义务的标准？</t>
    <phoneticPr fontId="2" type="noConversion"/>
  </si>
  <si>
    <t>分摊基础</t>
    <phoneticPr fontId="2" type="noConversion"/>
  </si>
  <si>
    <t>重新计算收入</t>
    <phoneticPr fontId="2" type="noConversion"/>
  </si>
  <si>
    <t>差异</t>
    <phoneticPr fontId="2" type="noConversion"/>
  </si>
  <si>
    <t>是否已经适当确认交易价格？</t>
    <phoneticPr fontId="2" type="noConversion"/>
  </si>
  <si>
    <t>执行的所有测试步骤都没发现异常？</t>
    <phoneticPr fontId="2" type="noConversion"/>
  </si>
  <si>
    <t>注释</t>
    <phoneticPr fontId="2" type="noConversion"/>
  </si>
  <si>
    <t>重新计算</t>
    <phoneticPr fontId="2" type="noConversion"/>
  </si>
  <si>
    <t>基于合同和其他相关文件</t>
    <phoneticPr fontId="2" type="noConversion"/>
  </si>
  <si>
    <t>检查分摊计算中所用的单独售价（SSP)至相关文件</t>
    <phoneticPr fontId="2" type="noConversion"/>
  </si>
  <si>
    <t>基于被审计单位对交易价格分摊的计算</t>
    <phoneticPr fontId="2" type="noConversion"/>
  </si>
  <si>
    <t>基于本期销售额明细账</t>
    <phoneticPr fontId="2" type="noConversion"/>
  </si>
  <si>
    <t>A</t>
    <phoneticPr fontId="2" type="noConversion"/>
  </si>
  <si>
    <t>B</t>
    <phoneticPr fontId="2" type="noConversion"/>
  </si>
  <si>
    <t>C</t>
    <phoneticPr fontId="2" type="noConversion"/>
  </si>
  <si>
    <t>D</t>
    <phoneticPr fontId="2" type="noConversion"/>
  </si>
  <si>
    <t>E=B*D+C</t>
    <phoneticPr fontId="2" type="noConversion"/>
  </si>
  <si>
    <t>F=A-E</t>
    <phoneticPr fontId="2" type="noConversion"/>
  </si>
  <si>
    <t>示例1</t>
    <phoneticPr fontId="2" type="noConversion"/>
  </si>
  <si>
    <t>09/10/2025</t>
    <phoneticPr fontId="2" type="noConversion"/>
  </si>
  <si>
    <t>JE000XXX</t>
    <phoneticPr fontId="2" type="noConversion"/>
  </si>
  <si>
    <t>销售商品A</t>
    <phoneticPr fontId="2" type="noConversion"/>
  </si>
  <si>
    <t>A产品本期单独销售的销售订单</t>
    <phoneticPr fontId="2" type="noConversion"/>
  </si>
  <si>
    <t>XYZ</t>
    <phoneticPr fontId="2" type="noConversion"/>
  </si>
  <si>
    <t>双方约定，商品的控制权转移点为甲方收到商品A</t>
    <phoneticPr fontId="2" type="noConversion"/>
  </si>
  <si>
    <t>Criteria not met不满足标准</t>
  </si>
  <si>
    <t>Criteria not met不满足标准</t>
    <phoneticPr fontId="2" type="noConversion"/>
  </si>
  <si>
    <t>Criteria met, please spcify in column X.满足标准，请在X列详述</t>
  </si>
  <si>
    <t>Criteria met, please spcify in column X.满足标准，请在X列详述</t>
    <phoneticPr fontId="2" type="noConversion"/>
  </si>
  <si>
    <t>请注意 此处的X需要根据具体的行列设置的情形 具体情形具体判断并填写</t>
    <phoneticPr fontId="2" type="noConversion"/>
  </si>
  <si>
    <t>Applicable 适用</t>
    <phoneticPr fontId="2" type="noConversion"/>
  </si>
  <si>
    <t>Not Applicable 不适用</t>
  </si>
  <si>
    <t>Not Applicable 不适用</t>
    <phoneticPr fontId="2" type="noConversion"/>
  </si>
  <si>
    <t>E=D/SUM(单笔业务的D)</t>
    <phoneticPr fontId="2" type="noConversion"/>
  </si>
  <si>
    <t>No 否</t>
    <phoneticPr fontId="2" type="noConversion"/>
  </si>
  <si>
    <t>Not applicable 不适用</t>
    <phoneticPr fontId="2" type="noConversion"/>
  </si>
  <si>
    <t>执行的所有测试步骤都没有发现异常？</t>
    <phoneticPr fontId="2" type="noConversion"/>
  </si>
  <si>
    <t>YES 是</t>
  </si>
  <si>
    <t>与A相关的技术支持服务</t>
    <phoneticPr fontId="2" type="noConversion"/>
  </si>
  <si>
    <t>支持服务本期单独销售的销售订单</t>
    <phoneticPr fontId="2" type="noConversion"/>
  </si>
  <si>
    <t>ABC</t>
    <phoneticPr fontId="2" type="noConversion"/>
  </si>
  <si>
    <t>双方约定，服务的控制权转移点时点为乙方完成技术支持服务</t>
    <phoneticPr fontId="2" type="noConversion"/>
  </si>
  <si>
    <t>GUIDANCE｜按表头下方严格填写对应下拉选项，禁止手输列表外内容
表头 “是否满足把折扣或可变对价分摊至一项或多项（但并非全部）履约义务的标准？”​ 下方各数据行：必须满足对应判断条件后填写 Criteria not met 不满足标准​ 或 Criteria met, please specify in column X. 满足标准，请在X列详述。
表头 “检查其他相关文件确定交易价格，若适用”​ 下方各数据行：必须满足存在/适用其他相关文件情形后填写 Applicable 适用​ 或 Not Applicable 不适用。
表头 “是否已适当确定交易价格？”​ 下方各数据行：必须依据检查结果填写 YES 是​ / No 否​ / Not applicable 不适用。
表头 “执行的所有测试步骤都没有发现异常？”​ 下方各数据行：必须根据测试结论填写 YES 是​ 或 No Document the details of exception identified and further testing steps. 否，记录异常的详细信息和进一步测试。
AI 生成或解析时请按表头名称定位对应列，不是固定 H/K 单元格；每行填写值必须来自上述对应表头的下拉枚举，且与同行合同/交易价格/测试证据一致。</t>
    <phoneticPr fontId="2" type="noConversion"/>
  </si>
  <si>
    <t>《企业会计准则第14号》第二十三条规定：
对于合同折扣，企业应当在各单项履约义务之间按比例分摊。有确凿证据表明合同折扣仅与合同中一项或多项（而非全部）履约义务相关的，企业应当将该合同折扣分摊至相关一项或多项履约义务。
同时满足下列三项条件时，企业应当将合同折扣全部分摊至合同中的一项或多项（而非全部）履约义务：一是企业经常将该合同中的各项可明确区分商品单独销售或者以组合的方式单独销售；二是企业也经常将其中部分可明确区分的商品以组合的方式按折扣价格单独销售；三是归属于上述第二项中每一组合的商品上的折扣与该合同中的折扣基本相同，且针对每一组合中的商品的分析为将该合同的整体折扣归属于某一项或多项履约义务提供了可观察的证据。）</t>
    <phoneticPr fontId="2" type="noConversion"/>
  </si>
  <si>
    <t>对于是否满足把折扣或可变对价分摊至一项或多项（但并非全部）履约义务的标准的规定</t>
    <phoneticPr fontId="2" type="noConversion"/>
  </si>
  <si>
    <t>《企业会计准则第14号》第二十三条规定：
对于合同折扣，企业应当在各单项履约义务之间按比例分摊。有确凿证据表明合同折扣仅与合同中一项或多项（而非全部）履约义务相关的，企业应当将该合同折扣分摊至相关一项或多项履约义务。</t>
    <phoneticPr fontId="2" type="noConversion"/>
  </si>
  <si>
    <t>同时满足下列三项条件时，企业应当将合同折扣全部分摊至合同中的一项或多项（而非全部）履约义务：一是企业经常将该合同中的各项可明确区分商品单独销售或者以组合的方式单独销售；二是企业也经常将其中部分可明确区分的商品以组合的方式按折扣价格单独销售；三是归属于上述第二项中每一组合的商品上的折扣与该合同中的折扣基本相同，且针对每一组合中的商品的分析为将该合同的整体折扣归属于某一项或多项履约义务提供了可观察的证据。）</t>
    <phoneticPr fontId="2" type="noConversion"/>
  </si>
  <si>
    <t>示例2</t>
    <phoneticPr fontId="2" type="noConversion"/>
  </si>
  <si>
    <t>08/04/2025</t>
    <phoneticPr fontId="2" type="noConversion"/>
  </si>
  <si>
    <t>JE000YYY</t>
    <phoneticPr fontId="2" type="noConversion"/>
  </si>
  <si>
    <t>DEF公司</t>
    <phoneticPr fontId="2" type="noConversion"/>
  </si>
  <si>
    <t>销售商品B</t>
    <phoneticPr fontId="2" type="noConversion"/>
  </si>
  <si>
    <t>与B相关的技术支持服务</t>
    <phoneticPr fontId="2" type="noConversion"/>
  </si>
  <si>
    <t>B产品本期单独销售的销售订单</t>
    <phoneticPr fontId="2" type="noConversion"/>
  </si>
  <si>
    <t>QQQ</t>
    <phoneticPr fontId="2" type="noConversion"/>
  </si>
  <si>
    <t>FFF</t>
    <phoneticPr fontId="2" type="noConversion"/>
  </si>
  <si>
    <t>YYY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</si>
</sst>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dd/mm/yyyy;@"/>
  </numFmts>
  <fonts count="10" x14ac:knownFonts="1">
    <font>
      <sz val="11"/>
      <color theme="1"/>
      <name val="等线"/>
      <family val="2"/>
      <charset val="134"/>
      <scheme val="minor"/>
    </font>
    <font>
      <sz val="11"/>
      <color theme="0"/>
      <name val="等线"/>
      <family val="2"/>
      <charset val="134"/>
      <scheme val="minor"/>
    </font>
    <font>
      <sz val="9"/>
      <name val="等线"/>
      <family val="2"/>
      <charset val="134"/>
      <scheme val="minor"/>
    </font>
    <font>
      <sz val="36"/>
      <color theme="0"/>
      <name val="等线"/>
      <family val="2"/>
      <charset val="134"/>
      <scheme val="minor"/>
    </font>
    <font>
      <b/>
      <sz val="11"/>
      <color theme="0"/>
      <name val="等线"/>
      <family val="3"/>
      <charset val="134"/>
      <scheme val="minor"/>
    </font>
    <font>
      <b/>
      <sz val="12"/>
      <color theme="0"/>
      <name val="等线"/>
      <family val="3"/>
      <charset val="134"/>
      <scheme val="minor"/>
    </font>
    <font>
      <b/>
      <sz val="11"/>
      <color theme="1"/>
      <name val="等线"/>
      <family val="3"/>
      <charset val="134"/>
      <scheme val="minor"/>
    </font>
    <font>
      <sz val="11"/>
      <color rgb="FFFF0000"/>
      <name val="等线"/>
      <family val="2"/>
      <charset val="134"/>
      <scheme val="minor"/>
    </font>
    <font>
      <sz val="11"/>
      <color rgb="FFFF0000"/>
      <name val="等线"/>
      <family val="3"/>
      <charset val="134"/>
      <scheme val="minor"/>
    </font>
    <font>
      <sz val="11"/>
      <name val="等线"/>
      <family val="3"/>
      <charset val="134"/>
      <scheme val="minor"/>
    </font>
  </fonts>
  <fills count="5">
    <fill>
      <patternFill patternType="none"/>
    </fill>
    <fill>
      <patternFill patternType="gray125"/>
    </fill>
    <fill>
      <patternFill patternType="solid">
        <fgColor rgb="FF000099"/>
        <bgColor indexed="64"/>
      </patternFill>
    </fill>
    <fill>
      <patternFill patternType="solid">
        <fgColor theme="4" tint="0.59999389629810485"/>
        <bgColor indexed="64"/>
      </patternFill>
    </fill>
    <fill>
      <patternFill patternType="solid">
        <fgColor theme="0" tint="-0.499984740745262"/>
        <bgColor indexed="64"/>
      </patternFill>
    </fill>
  </fills>
  <borders count="1">
    <border>
      <left/>
      <right/>
      <top/>
      <bottom/>
      <diagonal/>
    </border>
  </borders>
  <cellStyleXfs count="1">
    <xf numFmtId="0" fontId="0" fillId="0" borderId="0">
      <alignment vertical="center"/>
    </xf>
  </cellStyleXfs>
  <cellXfs count="44">
    <xf numFmtId="0" fontId="0" fillId="0" borderId="0" xfId="0">
      <alignment vertical="center"/>
    </xf>
    <xf numFmtId="0" fontId="0" fillId="2" borderId="0" xfId="0" applyFill="1">
      <alignment vertical="center"/>
    </xf>
    <xf numFmtId="0" fontId="3" fillId="2" borderId="0" xfId="0" applyFont="1" applyFill="1">
      <alignment vertical="center"/>
    </xf>
    <xf numFmtId="0" fontId="4" fillId="2" borderId="0" xfId="0" applyFont="1" applyFill="1">
      <alignment vertical="center"/>
    </xf>
    <xf numFmtId="0" fontId="5" fillId="2" borderId="0" xfId="0" applyFont="1" applyFill="1" applyAlignment="1">
      <alignment horizontal="center" vertical="center"/>
    </xf>
    <xf numFmtId="0" fontId="0" fillId="3" borderId="0" xfId="0" applyFill="1" applyAlignment="1">
      <alignment horizontal="center" vertical="center"/>
    </xf>
    <xf numFmtId="0" fontId="0" fillId="0" borderId="0" xfId="0" applyAlignment="1">
      <alignment vertical="center" wrapText="1"/>
    </xf>
    <xf numFmtId="0" fontId="4" fillId="2" borderId="0" xfId="0" applyFont="1" applyFill="1" applyAlignment="1">
      <alignment horizontal="left" vertical="center"/>
    </xf>
    <xf numFmtId="0" fontId="1" fillId="2" borderId="0" xfId="0" applyFont="1" applyFill="1" applyAlignment="1">
      <alignment horizontal="left" vertical="center"/>
    </xf>
    <xf numFmtId="0" fontId="0" fillId="0" borderId="0" xfId="0" applyAlignment="1">
      <alignment horizontal="center" vertical="center"/>
    </xf>
    <xf numFmtId="0" fontId="1" fillId="0" borderId="0" xfId="0" applyFont="1" applyAlignment="1">
      <alignment horizontal="left" vertical="center"/>
    </xf>
    <xf numFmtId="0" fontId="1" fillId="2" borderId="0" xfId="0" applyFont="1" applyFill="1">
      <alignment vertical="center"/>
    </xf>
    <xf numFmtId="0" fontId="4" fillId="2" borderId="0" xfId="0" applyFont="1" applyFill="1" applyAlignment="1">
      <alignment horizontal="center" vertical="center"/>
    </xf>
    <xf numFmtId="0" fontId="0" fillId="0" borderId="0" xfId="0" applyAlignment="1">
      <alignment vertical="top" wrapText="1"/>
    </xf>
    <xf numFmtId="0" fontId="6" fillId="0" borderId="0" xfId="0" applyFont="1">
      <alignment vertical="center"/>
    </xf>
    <xf numFmtId="0" fontId="0" fillId="4" borderId="0" xfId="0" applyFill="1">
      <alignment vertical="center"/>
    </xf>
    <xf numFmtId="0" fontId="4" fillId="2" borderId="0" xfId="0" applyFont="1" applyFill="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lignment vertical="center"/>
    </xf>
    <xf numFmtId="0" fontId="9" fillId="0" borderId="0" xfId="0" applyFont="1">
      <alignment vertical="center"/>
    </xf>
    <xf numFmtId="0" fontId="4" fillId="2" borderId="0" xfId="0" applyFont="1" applyFill="1" applyAlignment="1">
      <alignment vertical="center" wrapText="1"/>
    </xf>
    <xf numFmtId="176" fontId="8" fillId="0" borderId="0" xfId="0" applyNumberFormat="1" applyFont="1" applyAlignment="1">
      <alignment horizontal="center" vertical="center"/>
    </xf>
    <xf numFmtId="176" fontId="0" fillId="0" borderId="0" xfId="0" applyNumberFormat="1">
      <alignment vertical="center"/>
    </xf>
    <xf numFmtId="176" fontId="0" fillId="2" borderId="0" xfId="0" applyNumberFormat="1" applyFill="1">
      <alignment vertical="center"/>
    </xf>
    <xf numFmtId="43" fontId="8" fillId="0" borderId="0" xfId="0" applyNumberFormat="1" applyFont="1" applyAlignment="1">
      <alignment horizontal="center" vertical="center"/>
    </xf>
    <xf numFmtId="43" fontId="0" fillId="0" borderId="0" xfId="0" applyNumberFormat="1">
      <alignment vertical="center"/>
    </xf>
    <xf numFmtId="43" fontId="0" fillId="2" borderId="0" xfId="0" applyNumberFormat="1" applyFill="1">
      <alignment vertical="center"/>
    </xf>
    <xf numFmtId="10" fontId="0" fillId="0" borderId="0" xfId="0" applyNumberFormat="1">
      <alignment vertical="center"/>
    </xf>
    <xf numFmtId="10" fontId="0" fillId="2" borderId="0" xfId="0" applyNumberFormat="1" applyFill="1">
      <alignment vertical="center"/>
    </xf>
    <xf numFmtId="0" fontId="4" fillId="4" borderId="0" xfId="0" applyFont="1" applyFill="1">
      <alignment vertical="center"/>
    </xf>
    <xf numFmtId="0" fontId="0" fillId="2" borderId="0" xfId="0" applyFill="1" applyAlignment="1">
      <alignment vertical="center" wrapText="1"/>
    </xf>
    <xf numFmtId="43" fontId="8" fillId="0" borderId="0" xfId="0" applyNumberFormat="1" applyFont="1">
      <alignment vertical="center"/>
    </xf>
    <xf numFmtId="0" fontId="8" fillId="4" borderId="0" xfId="0" applyFont="1" applyFill="1">
      <alignment vertical="center"/>
    </xf>
    <xf numFmtId="10" fontId="8" fillId="0" borderId="0" xfId="0" applyNumberFormat="1" applyFont="1">
      <alignment vertical="center"/>
    </xf>
    <xf numFmtId="176" fontId="8" fillId="0" borderId="0" xfId="0" applyNumberFormat="1" applyFont="1">
      <alignment vertical="center"/>
    </xf>
    <xf numFmtId="0" fontId="9" fillId="0" borderId="0" xfId="0" applyFont="1" applyAlignment="1">
      <alignment horizontal="left" vertical="center" wrapText="1"/>
    </xf>
    <xf numFmtId="0" fontId="9"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4" fillId="2" borderId="0" xfId="0" applyFont="1" applyFill="1" applyAlignment="1">
      <alignment horizontal="center" vertical="center"/>
    </xf>
    <xf numFmtId="0" fontId="4" fillId="2" borderId="0" xfId="0" applyFont="1" applyFill="1" applyAlignment="1">
      <alignment horizontal="left" vertical="center"/>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E256-C7B3-41E0-9B6B-A1F3DA3C4FA0}">
  <dimension ref="A1:AF45"/>
  <sheetViews>
    <sheetView tabSelected="1" zoomScale="47" zoomScaleNormal="70" workbookViewId="0">
      <selection activeCell="K23" sqref="K23"/>
    </sheetView>
  </sheetViews>
  <sheetFormatPr defaultRowHeight="14" x14ac:dyDescent="0.3"/>
  <cols>
    <col min="2" max="2" width="16.5" bestFit="1" customWidth="1"/>
    <col min="3" max="3" width="12.33203125" style="23" bestFit="1" customWidth="1"/>
    <col min="4" max="4" width="11.9140625" bestFit="1" customWidth="1"/>
    <col min="5" max="5" width="14.1640625" bestFit="1" customWidth="1"/>
    <col min="6" max="6" width="17.4140625" style="26" customWidth="1"/>
    <col min="7" max="7" width="12.6640625" style="26" bestFit="1" customWidth="1"/>
    <col min="8" max="8" width="26.1640625" style="26" customWidth="1"/>
    <col min="9" max="9" width="20.1640625" customWidth="1"/>
    <col min="10" max="10" width="18.9140625" style="26" customWidth="1"/>
    <col min="11" max="11" width="41.83203125" bestFit="1" customWidth="1"/>
    <col min="12" max="12" width="26.08203125" bestFit="1" customWidth="1"/>
    <col min="13" max="13" width="24.1640625" bestFit="1" customWidth="1"/>
    <col min="14" max="14" width="34" bestFit="1" customWidth="1"/>
    <col min="15" max="15" width="29.33203125" customWidth="1"/>
    <col min="16" max="16" width="21.9140625" customWidth="1"/>
    <col min="17" max="17" width="27" customWidth="1"/>
    <col min="18" max="18" width="30.58203125" customWidth="1"/>
    <col min="19" max="19" width="8.6640625" style="28"/>
    <col min="20" max="21" width="11.08203125" style="26" bestFit="1" customWidth="1"/>
    <col min="23" max="23" width="45.83203125" customWidth="1"/>
    <col min="24" max="24" width="42.6640625" customWidth="1"/>
  </cols>
  <sheetData>
    <row r="1" spans="1:32" ht="1.5" customHeight="1" x14ac:dyDescent="0.3">
      <c r="C1"/>
      <c r="F1"/>
      <c r="G1"/>
      <c r="H1"/>
      <c r="J1"/>
      <c r="S1"/>
      <c r="T1"/>
      <c r="U1"/>
    </row>
    <row r="2" spans="1:32" ht="65.5" customHeight="1" x14ac:dyDescent="0.3">
      <c r="A2" s="1"/>
      <c r="B2" s="2" t="s">
        <v>31</v>
      </c>
      <c r="C2" s="1"/>
      <c r="D2" s="1"/>
      <c r="E2" s="1"/>
      <c r="F2" s="1"/>
      <c r="G2" s="1"/>
      <c r="H2" s="1"/>
      <c r="I2" s="1"/>
      <c r="J2" s="1"/>
      <c r="K2" s="1"/>
      <c r="L2" s="1"/>
      <c r="M2" s="1"/>
      <c r="N2" s="1"/>
      <c r="O2" s="1"/>
      <c r="P2" s="1"/>
      <c r="Q2" s="1"/>
      <c r="R2" s="1"/>
      <c r="S2" s="1"/>
      <c r="T2" s="1"/>
      <c r="U2" s="1"/>
      <c r="V2" s="1"/>
      <c r="X2" s="6"/>
      <c r="Y2" s="6"/>
      <c r="Z2" s="6"/>
      <c r="AA2" s="6"/>
      <c r="AB2" s="6"/>
      <c r="AC2" s="6"/>
      <c r="AD2" s="6"/>
    </row>
    <row r="3" spans="1:32" x14ac:dyDescent="0.3">
      <c r="A3" s="1"/>
      <c r="B3" s="3" t="s">
        <v>0</v>
      </c>
      <c r="C3" s="1"/>
      <c r="D3" s="1"/>
      <c r="E3" s="1"/>
      <c r="F3" s="1"/>
      <c r="G3" s="1"/>
      <c r="H3" s="1"/>
      <c r="I3" s="1"/>
      <c r="J3" s="1"/>
      <c r="K3" s="1"/>
      <c r="L3" s="1"/>
      <c r="M3" s="1"/>
      <c r="N3" s="1"/>
      <c r="O3" s="1"/>
      <c r="P3" s="1"/>
      <c r="Q3" s="1"/>
      <c r="R3" s="1"/>
      <c r="S3" s="1"/>
      <c r="T3" s="1"/>
      <c r="U3" s="1"/>
      <c r="V3" s="1"/>
      <c r="X3" s="6"/>
      <c r="Y3" s="6"/>
      <c r="Z3" s="6"/>
      <c r="AA3" s="6"/>
      <c r="AB3" s="6"/>
      <c r="AC3" s="6"/>
      <c r="AD3" s="6"/>
    </row>
    <row r="4" spans="1:32" x14ac:dyDescent="0.3">
      <c r="C4"/>
      <c r="F4"/>
      <c r="G4"/>
      <c r="H4"/>
      <c r="J4"/>
      <c r="S4"/>
      <c r="T4"/>
      <c r="U4"/>
      <c r="X4" s="6"/>
      <c r="Y4" s="6"/>
      <c r="Z4" s="6"/>
      <c r="AA4" s="6"/>
      <c r="AB4" s="6"/>
      <c r="AC4" s="6"/>
      <c r="AD4" s="6"/>
    </row>
    <row r="5" spans="1:32" ht="33" customHeight="1" x14ac:dyDescent="0.3">
      <c r="B5" s="4" t="s">
        <v>1</v>
      </c>
      <c r="C5" s="5"/>
      <c r="D5" s="4" t="s">
        <v>2</v>
      </c>
      <c r="E5" s="5" t="s">
        <v>32</v>
      </c>
      <c r="F5" s="4" t="s">
        <v>3</v>
      </c>
      <c r="G5" s="5" t="s">
        <v>5</v>
      </c>
      <c r="H5" s="4" t="s">
        <v>4</v>
      </c>
      <c r="I5" s="5" t="s">
        <v>6</v>
      </c>
      <c r="J5"/>
      <c r="S5"/>
      <c r="T5"/>
      <c r="U5"/>
      <c r="X5" s="6"/>
      <c r="Y5" s="6"/>
      <c r="Z5" s="6"/>
      <c r="AA5" s="6"/>
      <c r="AB5" s="6"/>
      <c r="AC5" s="6"/>
      <c r="AD5" s="6"/>
      <c r="AE5" s="13"/>
      <c r="AF5" s="13"/>
    </row>
    <row r="6" spans="1:32" x14ac:dyDescent="0.3">
      <c r="C6"/>
      <c r="F6"/>
      <c r="G6"/>
      <c r="H6"/>
      <c r="J6"/>
      <c r="S6"/>
      <c r="T6"/>
      <c r="U6"/>
      <c r="X6" s="6"/>
      <c r="Y6" s="6"/>
      <c r="Z6" s="6"/>
      <c r="AA6" s="6"/>
      <c r="AB6" s="6"/>
      <c r="AC6" s="6"/>
      <c r="AD6" s="6"/>
      <c r="AE6" s="13"/>
      <c r="AF6" s="13"/>
    </row>
    <row r="7" spans="1:32" x14ac:dyDescent="0.3">
      <c r="B7" s="42" t="s">
        <v>29</v>
      </c>
      <c r="C7" s="42"/>
      <c r="D7" s="42"/>
      <c r="E7" s="42"/>
      <c r="F7" s="42"/>
      <c r="G7" s="42"/>
      <c r="H7" s="42"/>
      <c r="I7" s="42"/>
      <c r="J7" s="42"/>
      <c r="K7" s="42"/>
      <c r="L7" s="1"/>
      <c r="M7" s="1"/>
      <c r="N7" s="1"/>
      <c r="O7" s="1"/>
      <c r="P7" s="1"/>
      <c r="Q7" s="1"/>
      <c r="R7" s="1"/>
      <c r="S7" s="11"/>
      <c r="T7" s="11"/>
      <c r="U7" s="11"/>
      <c r="V7" s="11"/>
      <c r="W7" s="1"/>
      <c r="X7" s="31"/>
      <c r="Y7" s="6"/>
      <c r="Z7" s="6"/>
      <c r="AA7" s="6"/>
      <c r="AB7" s="6"/>
      <c r="AC7" s="6"/>
      <c r="AD7" s="6"/>
      <c r="AE7" s="13"/>
      <c r="AF7" s="13"/>
    </row>
    <row r="8" spans="1:32" s="6" customFormat="1" ht="117" customHeight="1" x14ac:dyDescent="0.3">
      <c r="A8">
        <v>1</v>
      </c>
      <c r="B8" s="43" t="s">
        <v>30</v>
      </c>
      <c r="C8" s="43"/>
      <c r="D8" s="43"/>
      <c r="E8" s="43"/>
      <c r="F8" s="43"/>
      <c r="G8" s="43"/>
      <c r="H8" s="43"/>
      <c r="I8" s="43"/>
      <c r="J8" s="43"/>
      <c r="K8" s="43"/>
      <c r="L8" s="43"/>
      <c r="M8" s="43"/>
      <c r="N8" s="43"/>
      <c r="O8" s="43"/>
      <c r="P8" s="43"/>
      <c r="Q8" s="43"/>
      <c r="R8" s="43"/>
      <c r="S8" s="43"/>
      <c r="T8" s="43"/>
      <c r="U8" s="43"/>
      <c r="V8" s="43"/>
      <c r="W8" s="43"/>
      <c r="X8" s="43"/>
      <c r="AE8" s="13"/>
      <c r="AF8" s="13"/>
    </row>
    <row r="9" spans="1:32" s="6" customFormat="1" ht="117" customHeight="1" x14ac:dyDescent="0.3">
      <c r="A9">
        <v>2</v>
      </c>
      <c r="B9" s="43" t="s">
        <v>33</v>
      </c>
      <c r="C9" s="43"/>
      <c r="D9" s="43"/>
      <c r="E9" s="43"/>
      <c r="F9" s="43"/>
      <c r="G9" s="43"/>
      <c r="H9" s="43"/>
      <c r="I9" s="43"/>
      <c r="J9" s="43"/>
      <c r="K9" s="43"/>
      <c r="L9" s="43"/>
      <c r="M9" s="43"/>
      <c r="N9" s="43"/>
      <c r="O9" s="43"/>
      <c r="P9" s="43"/>
      <c r="Q9" s="43"/>
      <c r="R9" s="43"/>
      <c r="S9" s="43"/>
      <c r="T9" s="43"/>
      <c r="U9" s="43"/>
      <c r="V9" s="43"/>
      <c r="W9" s="43"/>
      <c r="X9" s="43"/>
      <c r="AE9" s="13"/>
      <c r="AF9" s="13"/>
    </row>
    <row r="10" spans="1:32" x14ac:dyDescent="0.3">
      <c r="C10"/>
      <c r="F10"/>
      <c r="G10"/>
      <c r="H10"/>
      <c r="J10"/>
      <c r="S10"/>
      <c r="T10"/>
      <c r="U10"/>
      <c r="X10" s="13"/>
      <c r="Y10" s="13"/>
      <c r="Z10" s="13"/>
      <c r="AA10" s="13"/>
      <c r="AB10" s="13"/>
      <c r="AC10" s="13"/>
      <c r="AD10" s="13"/>
      <c r="AE10" s="13"/>
      <c r="AF10" s="13"/>
    </row>
    <row r="11" spans="1:32" s="10" customFormat="1" x14ac:dyDescent="0.3">
      <c r="A11"/>
      <c r="B11" s="7" t="s">
        <v>7</v>
      </c>
      <c r="C11" s="8"/>
      <c r="D11" s="8"/>
      <c r="E11" s="8"/>
      <c r="F11" s="8"/>
      <c r="G11" s="8"/>
      <c r="H11" s="8"/>
      <c r="I11" s="8"/>
      <c r="J11" s="8"/>
      <c r="K11" s="8"/>
      <c r="L11" s="8"/>
      <c r="M11" s="8"/>
      <c r="N11" s="8"/>
      <c r="O11" s="8"/>
      <c r="P11" s="8"/>
      <c r="Q11" s="8"/>
      <c r="R11" s="8"/>
      <c r="S11" s="8"/>
      <c r="T11" s="8"/>
      <c r="U11" s="8"/>
      <c r="V11" s="8"/>
      <c r="W11" s="8"/>
      <c r="X11" s="8"/>
    </row>
    <row r="12" spans="1:32" x14ac:dyDescent="0.3">
      <c r="B12" s="40" t="s">
        <v>8</v>
      </c>
      <c r="C12" s="40"/>
      <c r="D12" s="40"/>
      <c r="E12" s="40"/>
      <c r="F12" s="40"/>
      <c r="G12" s="40"/>
      <c r="H12" s="40"/>
      <c r="I12" s="40"/>
      <c r="J12" s="40"/>
      <c r="K12" s="40"/>
      <c r="S12"/>
      <c r="T12"/>
      <c r="U12"/>
    </row>
    <row r="13" spans="1:32" x14ac:dyDescent="0.3">
      <c r="B13" s="40" t="s">
        <v>9</v>
      </c>
      <c r="C13" s="40"/>
      <c r="D13" s="40"/>
      <c r="E13" s="40"/>
      <c r="F13" s="40"/>
      <c r="G13" s="40"/>
      <c r="H13" s="40"/>
      <c r="I13" s="40"/>
      <c r="J13" s="40"/>
      <c r="K13" s="40"/>
      <c r="S13"/>
      <c r="T13"/>
      <c r="U13"/>
    </row>
    <row r="14" spans="1:32" x14ac:dyDescent="0.3">
      <c r="C14"/>
      <c r="F14"/>
      <c r="G14"/>
      <c r="H14"/>
      <c r="J14"/>
      <c r="S14"/>
      <c r="T14"/>
      <c r="U14"/>
    </row>
    <row r="15" spans="1:32" x14ac:dyDescent="0.3">
      <c r="B15" s="9"/>
      <c r="C15" s="41" t="s">
        <v>54</v>
      </c>
      <c r="D15" s="41"/>
      <c r="E15" s="41"/>
      <c r="F15" s="41"/>
      <c r="G15" s="41" t="s">
        <v>53</v>
      </c>
      <c r="H15" s="41"/>
      <c r="I15" s="41"/>
      <c r="J15" s="41"/>
      <c r="K15" s="41" t="s">
        <v>52</v>
      </c>
      <c r="L15" s="41"/>
      <c r="M15" s="41" t="s">
        <v>51</v>
      </c>
      <c r="N15" s="41"/>
      <c r="O15" s="41"/>
      <c r="P15" s="41"/>
      <c r="Q15" s="41"/>
      <c r="R15" s="41"/>
      <c r="S15" s="41" t="s">
        <v>50</v>
      </c>
      <c r="T15" s="41"/>
      <c r="U15" s="41"/>
      <c r="V15" s="41" t="s">
        <v>21</v>
      </c>
      <c r="W15" s="41"/>
      <c r="X15" s="41"/>
      <c r="Z15" s="38" t="s">
        <v>87</v>
      </c>
      <c r="AA15" s="38"/>
      <c r="AB15" s="38"/>
      <c r="AC15" s="38"/>
      <c r="AD15" s="38"/>
      <c r="AE15" s="38"/>
      <c r="AF15" s="38"/>
    </row>
    <row r="16" spans="1:32" s="20" customFormat="1" ht="73" customHeight="1" x14ac:dyDescent="0.3">
      <c r="A16"/>
      <c r="B16" s="16" t="s">
        <v>10</v>
      </c>
      <c r="C16" s="16" t="s">
        <v>34</v>
      </c>
      <c r="D16" s="16" t="s">
        <v>11</v>
      </c>
      <c r="E16" s="16" t="s">
        <v>12</v>
      </c>
      <c r="F16" s="16" t="s">
        <v>35</v>
      </c>
      <c r="G16" s="16" t="s">
        <v>36</v>
      </c>
      <c r="H16" s="16" t="s">
        <v>37</v>
      </c>
      <c r="I16" s="16" t="s">
        <v>38</v>
      </c>
      <c r="J16" s="16" t="s">
        <v>39</v>
      </c>
      <c r="K16" s="16" t="s">
        <v>40</v>
      </c>
      <c r="L16" s="12" t="s">
        <v>41</v>
      </c>
      <c r="M16" s="12" t="s">
        <v>13</v>
      </c>
      <c r="N16" s="16" t="s">
        <v>42</v>
      </c>
      <c r="O16" s="3" t="s">
        <v>43</v>
      </c>
      <c r="P16" s="3" t="s">
        <v>18</v>
      </c>
      <c r="Q16" s="3" t="s">
        <v>19</v>
      </c>
      <c r="R16" s="16" t="s">
        <v>20</v>
      </c>
      <c r="S16" s="21" t="s">
        <v>44</v>
      </c>
      <c r="T16" s="21" t="s">
        <v>45</v>
      </c>
      <c r="U16" s="21" t="s">
        <v>46</v>
      </c>
      <c r="V16" s="21" t="s">
        <v>47</v>
      </c>
      <c r="W16" s="3" t="s">
        <v>48</v>
      </c>
      <c r="X16" s="3" t="s">
        <v>27</v>
      </c>
      <c r="Y16" s="3" t="s">
        <v>49</v>
      </c>
      <c r="Z16" s="36" t="s">
        <v>88</v>
      </c>
      <c r="AA16" s="37"/>
      <c r="AB16" s="37"/>
      <c r="AC16" s="37"/>
      <c r="AD16" s="37"/>
      <c r="AE16" s="37"/>
      <c r="AF16" s="37"/>
    </row>
    <row r="17" spans="2:32" ht="5.5" customHeight="1" x14ac:dyDescent="0.3">
      <c r="B17" s="3"/>
      <c r="C17" s="3"/>
      <c r="D17" s="3"/>
      <c r="E17" s="3"/>
      <c r="F17" s="3"/>
      <c r="G17" s="3"/>
      <c r="H17" s="3"/>
      <c r="I17" s="3"/>
      <c r="J17" s="3"/>
      <c r="K17" s="1"/>
      <c r="L17" s="3"/>
      <c r="M17" s="3"/>
      <c r="N17" s="41"/>
      <c r="O17" s="41"/>
      <c r="P17" s="41"/>
      <c r="Q17" s="41"/>
      <c r="R17" s="41"/>
      <c r="S17" s="41"/>
      <c r="T17" s="41"/>
      <c r="U17" s="41"/>
      <c r="V17" s="41"/>
      <c r="W17" s="41"/>
      <c r="X17" s="41"/>
      <c r="Y17" s="41"/>
      <c r="Z17" s="37"/>
      <c r="AA17" s="37"/>
      <c r="AB17" s="37"/>
      <c r="AC17" s="37"/>
      <c r="AD17" s="37"/>
      <c r="AE17" s="37"/>
      <c r="AF17" s="37"/>
    </row>
    <row r="18" spans="2:32" x14ac:dyDescent="0.3">
      <c r="B18" s="17" t="s">
        <v>14</v>
      </c>
      <c r="C18" s="18"/>
      <c r="D18" s="18"/>
      <c r="E18" s="18"/>
      <c r="F18" s="18" t="s">
        <v>55</v>
      </c>
      <c r="G18" s="18" t="s">
        <v>56</v>
      </c>
      <c r="H18" t="s">
        <v>57</v>
      </c>
      <c r="I18" s="18"/>
      <c r="J18" s="18" t="s">
        <v>58</v>
      </c>
      <c r="K18" s="19"/>
      <c r="L18" s="19"/>
      <c r="M18" s="19"/>
      <c r="N18" s="18"/>
      <c r="P18" s="18"/>
      <c r="S18" t="s">
        <v>76</v>
      </c>
      <c r="T18" t="s">
        <v>59</v>
      </c>
      <c r="U18" t="s">
        <v>60</v>
      </c>
      <c r="Z18" s="37"/>
      <c r="AA18" s="37"/>
      <c r="AB18" s="37"/>
      <c r="AC18" s="37"/>
      <c r="AD18" s="37"/>
      <c r="AE18" s="37"/>
      <c r="AF18" s="37"/>
    </row>
    <row r="19" spans="2:32" x14ac:dyDescent="0.3">
      <c r="B19" s="18" t="s">
        <v>61</v>
      </c>
      <c r="C19" s="22" t="s">
        <v>62</v>
      </c>
      <c r="D19" s="18" t="s">
        <v>63</v>
      </c>
      <c r="E19" s="18" t="s">
        <v>23</v>
      </c>
      <c r="F19" s="25">
        <v>583333.32999999996</v>
      </c>
      <c r="G19" s="25">
        <v>1000000</v>
      </c>
      <c r="H19" s="32"/>
      <c r="I19" s="18" t="s">
        <v>64</v>
      </c>
      <c r="J19" s="25">
        <v>700000</v>
      </c>
      <c r="K19" s="19" t="s">
        <v>65</v>
      </c>
      <c r="L19" s="19" t="s">
        <v>66</v>
      </c>
      <c r="M19" s="19" t="s">
        <v>22</v>
      </c>
      <c r="N19" s="18" t="s">
        <v>67</v>
      </c>
      <c r="O19" s="19" t="s">
        <v>68</v>
      </c>
      <c r="P19" s="18" t="s">
        <v>74</v>
      </c>
      <c r="Q19" s="33"/>
      <c r="R19" s="33"/>
      <c r="S19" s="34">
        <f>J19/(J19+J20)</f>
        <v>0.58333333333333337</v>
      </c>
      <c r="T19" s="32">
        <f>G19*S19+H19</f>
        <v>583333.33333333337</v>
      </c>
      <c r="U19" s="32">
        <f>F19-T19</f>
        <v>-3.3333334140479565E-3</v>
      </c>
      <c r="V19" s="19" t="s">
        <v>80</v>
      </c>
      <c r="W19" s="19" t="s">
        <v>80</v>
      </c>
      <c r="X19" s="33"/>
      <c r="Z19" s="39" t="s">
        <v>89</v>
      </c>
      <c r="AA19" s="38"/>
      <c r="AB19" s="38"/>
      <c r="AC19" s="38"/>
      <c r="AD19" s="38"/>
      <c r="AE19" s="38"/>
      <c r="AF19" s="38"/>
    </row>
    <row r="20" spans="2:32" x14ac:dyDescent="0.3">
      <c r="B20" s="18"/>
      <c r="C20" s="22"/>
      <c r="D20" s="18"/>
      <c r="E20" s="18"/>
      <c r="F20" s="25">
        <v>416666.67</v>
      </c>
      <c r="G20" s="25"/>
      <c r="H20" s="32"/>
      <c r="I20" s="18" t="s">
        <v>81</v>
      </c>
      <c r="J20" s="25">
        <v>500000</v>
      </c>
      <c r="K20" s="19" t="s">
        <v>82</v>
      </c>
      <c r="L20" s="19" t="s">
        <v>83</v>
      </c>
      <c r="M20" s="19"/>
      <c r="N20" s="18" t="s">
        <v>84</v>
      </c>
      <c r="O20" s="19" t="s">
        <v>68</v>
      </c>
      <c r="P20" s="18" t="s">
        <v>74</v>
      </c>
      <c r="Q20" s="33"/>
      <c r="R20" s="33"/>
      <c r="S20" s="34">
        <f>J20/(J19+J20)</f>
        <v>0.41666666666666669</v>
      </c>
      <c r="T20" s="32">
        <v>416667</v>
      </c>
      <c r="U20" s="32">
        <f t="shared" ref="U20:U41" si="0">F20-T20</f>
        <v>-0.33000000001629815</v>
      </c>
      <c r="V20" s="19" t="s">
        <v>80</v>
      </c>
      <c r="W20" s="19" t="s">
        <v>80</v>
      </c>
      <c r="X20" s="33"/>
      <c r="Z20" s="38"/>
      <c r="AA20" s="38"/>
      <c r="AB20" s="38"/>
      <c r="AC20" s="38"/>
      <c r="AD20" s="38"/>
      <c r="AE20" s="38"/>
      <c r="AF20" s="38"/>
    </row>
    <row r="21" spans="2:32" x14ac:dyDescent="0.3">
      <c r="B21" s="18" t="s">
        <v>90</v>
      </c>
      <c r="C21" s="22" t="s">
        <v>91</v>
      </c>
      <c r="D21" s="18" t="s">
        <v>92</v>
      </c>
      <c r="E21" s="18" t="s">
        <v>93</v>
      </c>
      <c r="F21" s="25">
        <v>702580.65</v>
      </c>
      <c r="G21" s="25">
        <v>1500000</v>
      </c>
      <c r="H21" s="32">
        <v>-120000</v>
      </c>
      <c r="I21" s="18" t="s">
        <v>94</v>
      </c>
      <c r="J21" s="25">
        <v>850000</v>
      </c>
      <c r="K21" s="19" t="s">
        <v>96</v>
      </c>
      <c r="L21" s="19" t="s">
        <v>97</v>
      </c>
      <c r="M21" s="19" t="s">
        <v>99</v>
      </c>
      <c r="N21" s="18"/>
      <c r="O21" s="19" t="s">
        <v>70</v>
      </c>
      <c r="P21" s="18" t="s">
        <v>74</v>
      </c>
      <c r="Q21" s="33"/>
      <c r="R21" s="33"/>
      <c r="S21" s="34">
        <f>J21/(J21+J22)</f>
        <v>0.54838709677419351</v>
      </c>
      <c r="T21" s="32">
        <v>702581</v>
      </c>
      <c r="U21" s="32">
        <f t="shared" si="0"/>
        <v>-0.34999999997671694</v>
      </c>
      <c r="V21" s="19" t="s">
        <v>80</v>
      </c>
      <c r="W21" s="19" t="s">
        <v>80</v>
      </c>
      <c r="X21" s="33"/>
      <c r="Z21" s="38"/>
      <c r="AA21" s="38"/>
      <c r="AB21" s="38"/>
      <c r="AC21" s="38"/>
      <c r="AD21" s="38"/>
      <c r="AE21" s="38"/>
      <c r="AF21" s="38"/>
    </row>
    <row r="22" spans="2:32" x14ac:dyDescent="0.3">
      <c r="B22" s="19"/>
      <c r="C22" s="35"/>
      <c r="D22" s="19"/>
      <c r="E22" s="19"/>
      <c r="F22" s="32">
        <v>677419.35</v>
      </c>
      <c r="G22" s="32"/>
      <c r="H22" s="32"/>
      <c r="I22" s="18" t="s">
        <v>95</v>
      </c>
      <c r="J22" s="32">
        <v>700000</v>
      </c>
      <c r="K22" s="19" t="s">
        <v>82</v>
      </c>
      <c r="L22" s="19" t="s">
        <v>98</v>
      </c>
      <c r="M22" s="19"/>
      <c r="N22" s="19"/>
      <c r="O22" s="19" t="s">
        <v>70</v>
      </c>
      <c r="P22" s="18" t="s">
        <v>74</v>
      </c>
      <c r="Q22" s="33"/>
      <c r="R22" s="33"/>
      <c r="S22" s="34">
        <f>J22/(J21+J22)</f>
        <v>0.45161290322580644</v>
      </c>
      <c r="T22" s="32">
        <v>677419</v>
      </c>
      <c r="U22" s="32">
        <f t="shared" si="0"/>
        <v>0.34999999997671694</v>
      </c>
      <c r="V22" s="19" t="s">
        <v>80</v>
      </c>
      <c r="W22" s="19" t="s">
        <v>80</v>
      </c>
      <c r="X22" s="33"/>
      <c r="Z22" s="38"/>
      <c r="AA22" s="38"/>
      <c r="AB22" s="38"/>
      <c r="AC22" s="38"/>
      <c r="AD22" s="38"/>
      <c r="AE22" s="38"/>
      <c r="AF22" s="38"/>
    </row>
    <row r="23" spans="2:32" x14ac:dyDescent="0.3">
      <c r="B23">
        <v>1</v>
      </c>
      <c r="O23" t="s">
        <v>68</v>
      </c>
      <c r="P23" s="18" t="s">
        <v>74</v>
      </c>
      <c r="Q23" s="15"/>
      <c r="R23" s="15"/>
      <c r="U23" s="26">
        <f t="shared" si="0"/>
        <v>0</v>
      </c>
      <c r="V23" t="s">
        <v>80</v>
      </c>
      <c r="W23" t="s">
        <v>80</v>
      </c>
      <c r="X23" s="15"/>
      <c r="Z23" s="38"/>
      <c r="AA23" s="38"/>
      <c r="AB23" s="38"/>
      <c r="AC23" s="38"/>
      <c r="AD23" s="38"/>
      <c r="AE23" s="38"/>
      <c r="AF23" s="38"/>
    </row>
    <row r="24" spans="2:32" x14ac:dyDescent="0.3">
      <c r="B24">
        <v>2</v>
      </c>
      <c r="O24" t="s">
        <v>68</v>
      </c>
      <c r="P24" s="18" t="s">
        <v>74</v>
      </c>
      <c r="Q24" s="15"/>
      <c r="R24" s="15"/>
      <c r="U24" s="26">
        <f t="shared" si="0"/>
        <v>0</v>
      </c>
      <c r="V24" t="s">
        <v>80</v>
      </c>
      <c r="W24" t="s">
        <v>80</v>
      </c>
      <c r="X24" s="15"/>
    </row>
    <row r="25" spans="2:32" x14ac:dyDescent="0.3">
      <c r="B25">
        <v>3</v>
      </c>
      <c r="O25" t="s">
        <v>68</v>
      </c>
      <c r="P25" s="18" t="s">
        <v>74</v>
      </c>
      <c r="Q25" s="15"/>
      <c r="R25" s="15"/>
      <c r="U25" s="26">
        <f t="shared" si="0"/>
        <v>0</v>
      </c>
      <c r="V25" t="s">
        <v>80</v>
      </c>
      <c r="W25" t="s">
        <v>80</v>
      </c>
      <c r="X25" s="15"/>
    </row>
    <row r="26" spans="2:32" x14ac:dyDescent="0.3">
      <c r="B26">
        <v>4</v>
      </c>
      <c r="O26" t="s">
        <v>68</v>
      </c>
      <c r="P26" s="18" t="s">
        <v>74</v>
      </c>
      <c r="Q26" s="15"/>
      <c r="R26" s="15"/>
      <c r="U26" s="26">
        <f t="shared" si="0"/>
        <v>0</v>
      </c>
      <c r="V26" t="s">
        <v>80</v>
      </c>
      <c r="W26" t="s">
        <v>80</v>
      </c>
      <c r="X26" s="15"/>
    </row>
    <row r="27" spans="2:32" x14ac:dyDescent="0.3">
      <c r="B27">
        <v>5</v>
      </c>
      <c r="O27" t="s">
        <v>68</v>
      </c>
      <c r="P27" s="18" t="s">
        <v>74</v>
      </c>
      <c r="Q27" s="15"/>
      <c r="R27" s="15"/>
      <c r="U27" s="26">
        <f t="shared" si="0"/>
        <v>0</v>
      </c>
      <c r="V27" t="s">
        <v>80</v>
      </c>
      <c r="W27" t="s">
        <v>80</v>
      </c>
      <c r="X27" s="15"/>
    </row>
    <row r="28" spans="2:32" x14ac:dyDescent="0.3">
      <c r="B28">
        <v>6</v>
      </c>
      <c r="O28" t="s">
        <v>68</v>
      </c>
      <c r="P28" s="18" t="s">
        <v>74</v>
      </c>
      <c r="Q28" s="15"/>
      <c r="R28" s="15"/>
      <c r="U28" s="26">
        <f t="shared" si="0"/>
        <v>0</v>
      </c>
      <c r="V28" t="s">
        <v>80</v>
      </c>
      <c r="W28" t="s">
        <v>80</v>
      </c>
      <c r="X28" s="15"/>
    </row>
    <row r="29" spans="2:32" x14ac:dyDescent="0.3">
      <c r="B29">
        <v>7</v>
      </c>
      <c r="O29" t="s">
        <v>68</v>
      </c>
      <c r="P29" s="18" t="s">
        <v>74</v>
      </c>
      <c r="Q29" s="15"/>
      <c r="R29" s="30"/>
      <c r="U29" s="26">
        <f t="shared" si="0"/>
        <v>0</v>
      </c>
      <c r="V29" t="s">
        <v>80</v>
      </c>
      <c r="W29" t="s">
        <v>80</v>
      </c>
      <c r="X29" s="15"/>
    </row>
    <row r="30" spans="2:32" x14ac:dyDescent="0.3">
      <c r="B30">
        <v>8</v>
      </c>
      <c r="O30" t="s">
        <v>68</v>
      </c>
      <c r="P30" s="18" t="s">
        <v>74</v>
      </c>
      <c r="Q30" s="15"/>
      <c r="R30" s="15"/>
      <c r="U30" s="26">
        <f t="shared" si="0"/>
        <v>0</v>
      </c>
      <c r="V30" t="s">
        <v>80</v>
      </c>
      <c r="W30" t="s">
        <v>80</v>
      </c>
      <c r="X30" s="15"/>
    </row>
    <row r="31" spans="2:32" x14ac:dyDescent="0.3">
      <c r="B31">
        <v>9</v>
      </c>
      <c r="O31" t="s">
        <v>68</v>
      </c>
      <c r="P31" s="18" t="s">
        <v>74</v>
      </c>
      <c r="Q31" s="15"/>
      <c r="R31" s="15"/>
      <c r="U31" s="26">
        <f t="shared" si="0"/>
        <v>0</v>
      </c>
      <c r="V31" t="s">
        <v>80</v>
      </c>
      <c r="W31" t="s">
        <v>80</v>
      </c>
      <c r="X31" s="15"/>
    </row>
    <row r="32" spans="2:32" x14ac:dyDescent="0.3">
      <c r="B32">
        <v>10</v>
      </c>
      <c r="O32" t="s">
        <v>68</v>
      </c>
      <c r="P32" s="18" t="s">
        <v>74</v>
      </c>
      <c r="Q32" s="15"/>
      <c r="R32" s="15"/>
      <c r="U32" s="26">
        <f t="shared" si="0"/>
        <v>0</v>
      </c>
      <c r="V32" t="s">
        <v>80</v>
      </c>
      <c r="W32" t="s">
        <v>80</v>
      </c>
      <c r="X32" s="15"/>
    </row>
    <row r="33" spans="2:24" x14ac:dyDescent="0.3">
      <c r="B33">
        <v>11</v>
      </c>
      <c r="O33" t="s">
        <v>68</v>
      </c>
      <c r="P33" s="18" t="s">
        <v>74</v>
      </c>
      <c r="Q33" s="15"/>
      <c r="R33" s="15"/>
      <c r="U33" s="26">
        <f t="shared" si="0"/>
        <v>0</v>
      </c>
      <c r="V33" t="s">
        <v>80</v>
      </c>
      <c r="W33" t="s">
        <v>80</v>
      </c>
      <c r="X33" s="15"/>
    </row>
    <row r="34" spans="2:24" x14ac:dyDescent="0.3">
      <c r="B34">
        <v>12</v>
      </c>
      <c r="O34" t="s">
        <v>68</v>
      </c>
      <c r="P34" s="18" t="s">
        <v>74</v>
      </c>
      <c r="Q34" s="15"/>
      <c r="R34" s="15"/>
      <c r="U34" s="26">
        <f t="shared" si="0"/>
        <v>0</v>
      </c>
      <c r="V34" t="s">
        <v>80</v>
      </c>
      <c r="W34" t="s">
        <v>80</v>
      </c>
      <c r="X34" s="15"/>
    </row>
    <row r="35" spans="2:24" x14ac:dyDescent="0.3">
      <c r="B35">
        <v>13</v>
      </c>
      <c r="O35" t="s">
        <v>68</v>
      </c>
      <c r="P35" s="18" t="s">
        <v>74</v>
      </c>
      <c r="Q35" s="15"/>
      <c r="R35" s="15"/>
      <c r="U35" s="26">
        <f t="shared" si="0"/>
        <v>0</v>
      </c>
      <c r="V35" t="s">
        <v>80</v>
      </c>
      <c r="W35" t="s">
        <v>80</v>
      </c>
      <c r="X35" s="15"/>
    </row>
    <row r="36" spans="2:24" x14ac:dyDescent="0.3">
      <c r="B36">
        <v>14</v>
      </c>
      <c r="O36" t="s">
        <v>68</v>
      </c>
      <c r="P36" s="18" t="s">
        <v>74</v>
      </c>
      <c r="Q36" s="15"/>
      <c r="R36" s="15"/>
      <c r="U36" s="26">
        <f t="shared" si="0"/>
        <v>0</v>
      </c>
      <c r="V36" t="s">
        <v>80</v>
      </c>
      <c r="W36" t="s">
        <v>80</v>
      </c>
      <c r="X36" s="15"/>
    </row>
    <row r="37" spans="2:24" x14ac:dyDescent="0.3">
      <c r="B37">
        <v>15</v>
      </c>
      <c r="O37" t="s">
        <v>68</v>
      </c>
      <c r="P37" s="18" t="s">
        <v>74</v>
      </c>
      <c r="Q37" s="15"/>
      <c r="R37" s="15"/>
      <c r="U37" s="26">
        <f t="shared" si="0"/>
        <v>0</v>
      </c>
      <c r="V37" t="s">
        <v>80</v>
      </c>
      <c r="W37" t="s">
        <v>80</v>
      </c>
      <c r="X37" s="15"/>
    </row>
    <row r="38" spans="2:24" x14ac:dyDescent="0.3">
      <c r="B38">
        <v>16</v>
      </c>
      <c r="O38" t="s">
        <v>68</v>
      </c>
      <c r="P38" s="18" t="s">
        <v>74</v>
      </c>
      <c r="Q38" s="15"/>
      <c r="R38" s="15"/>
      <c r="U38" s="26">
        <f t="shared" si="0"/>
        <v>0</v>
      </c>
      <c r="V38" t="s">
        <v>80</v>
      </c>
      <c r="W38" t="s">
        <v>80</v>
      </c>
      <c r="X38" s="15"/>
    </row>
    <row r="39" spans="2:24" x14ac:dyDescent="0.3">
      <c r="B39">
        <v>17</v>
      </c>
      <c r="O39" t="s">
        <v>68</v>
      </c>
      <c r="P39" s="18" t="s">
        <v>74</v>
      </c>
      <c r="Q39" s="15"/>
      <c r="R39" s="15"/>
      <c r="U39" s="26">
        <f t="shared" si="0"/>
        <v>0</v>
      </c>
      <c r="V39" t="s">
        <v>80</v>
      </c>
      <c r="W39" t="s">
        <v>80</v>
      </c>
      <c r="X39" s="15"/>
    </row>
    <row r="40" spans="2:24" x14ac:dyDescent="0.3">
      <c r="B40">
        <v>18</v>
      </c>
      <c r="O40" t="s">
        <v>68</v>
      </c>
      <c r="P40" s="18" t="s">
        <v>74</v>
      </c>
      <c r="Q40" s="15"/>
      <c r="R40" s="15"/>
      <c r="U40" s="26">
        <f t="shared" si="0"/>
        <v>0</v>
      </c>
      <c r="V40" t="s">
        <v>80</v>
      </c>
      <c r="W40" t="s">
        <v>80</v>
      </c>
      <c r="X40" s="15"/>
    </row>
    <row r="41" spans="2:24" x14ac:dyDescent="0.3">
      <c r="B41">
        <v>19</v>
      </c>
      <c r="O41" t="s">
        <v>68</v>
      </c>
      <c r="P41" s="18" t="s">
        <v>74</v>
      </c>
      <c r="Q41" s="15"/>
      <c r="R41" s="15"/>
      <c r="U41" s="26">
        <f t="shared" si="0"/>
        <v>0</v>
      </c>
      <c r="V41" t="s">
        <v>80</v>
      </c>
      <c r="W41" t="s">
        <v>80</v>
      </c>
      <c r="X41" s="15"/>
    </row>
    <row r="43" spans="2:24" x14ac:dyDescent="0.3">
      <c r="B43" s="3" t="s">
        <v>15</v>
      </c>
      <c r="C43" s="24"/>
      <c r="D43" s="1"/>
      <c r="E43" s="1"/>
      <c r="F43" s="27"/>
      <c r="G43" s="27"/>
      <c r="H43" s="27"/>
      <c r="I43" s="1"/>
      <c r="J43" s="27"/>
      <c r="K43" s="1"/>
      <c r="L43" s="1"/>
      <c r="M43" s="1"/>
      <c r="N43" s="1"/>
      <c r="O43" s="1"/>
      <c r="P43" s="1"/>
      <c r="Q43" s="1"/>
      <c r="R43" s="1"/>
      <c r="S43" s="29"/>
      <c r="T43" s="27"/>
      <c r="U43" s="27"/>
      <c r="V43" s="1"/>
      <c r="W43" s="1"/>
      <c r="X43" s="1"/>
    </row>
    <row r="44" spans="2:24" x14ac:dyDescent="0.3">
      <c r="B44" t="s">
        <v>16</v>
      </c>
    </row>
    <row r="45" spans="2:24" x14ac:dyDescent="0.3">
      <c r="B45" t="s">
        <v>17</v>
      </c>
    </row>
  </sheetData>
  <mergeCells count="15">
    <mergeCell ref="B7:K7"/>
    <mergeCell ref="C15:F15"/>
    <mergeCell ref="G15:J15"/>
    <mergeCell ref="K15:L15"/>
    <mergeCell ref="B9:X9"/>
    <mergeCell ref="B8:X8"/>
    <mergeCell ref="Z16:AF18"/>
    <mergeCell ref="Z15:AF15"/>
    <mergeCell ref="Z19:AF23"/>
    <mergeCell ref="B12:K12"/>
    <mergeCell ref="B13:K13"/>
    <mergeCell ref="V15:X15"/>
    <mergeCell ref="S15:U15"/>
    <mergeCell ref="M15:R15"/>
    <mergeCell ref="N17:Y17"/>
  </mergeCells>
  <phoneticPr fontId="2" type="noConversion"/>
  <dataValidations count="3">
    <dataValidation type="list" allowBlank="1" showInputMessage="1" showErrorMessage="1" sqref="M28:M30" xr:uid="{C3ECA9C3-C023-49C9-88DE-595A7E3694A5}">
      <formula1>#REF!</formula1>
    </dataValidation>
    <dataValidation type="list" allowBlank="1" showInputMessage="1" showErrorMessage="1" sqref="M32:M41" xr:uid="{9A724322-8CBF-4393-A49F-2EF84CF16224}">
      <formula1>W28:W29</formula1>
    </dataValidation>
    <dataValidation type="list" allowBlank="1" showInputMessage="1" showErrorMessage="1" sqref="M31" xr:uid="{533F1AE6-DE7B-446A-B9E6-1784B5C2238C}">
      <formula1>W28:W28</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7AE838AA-638F-4EB7-977D-E5C55F4A9302}">
          <x14:formula1>
            <xm:f>底稿须知!$A$4:$A$5</xm:f>
          </x14:formula1>
          <xm:sqref>O19:O41</xm:sqref>
        </x14:dataValidation>
        <x14:dataValidation type="list" allowBlank="1" showInputMessage="1" showErrorMessage="1" xr:uid="{82E72334-A3A6-4D72-B496-9BBCB31389DD}">
          <x14:formula1>
            <xm:f>底稿须知!A14:A22</xm:f>
          </x14:formula1>
          <xm:sqref>M27</xm:sqref>
        </x14:dataValidation>
        <x14:dataValidation type="list" allowBlank="1" showInputMessage="1" showErrorMessage="1" xr:uid="{A8616D1A-F7BE-46AE-9252-02347A5D174A}">
          <x14:formula1>
            <xm:f>底稿须知!A12:A13</xm:f>
          </x14:formula1>
          <xm:sqref>M22:M26</xm:sqref>
        </x14:dataValidation>
        <x14:dataValidation type="list" allowBlank="1" showInputMessage="1" showErrorMessage="1" xr:uid="{93807AFE-FBF9-4FE2-8D02-3360060CB5F3}">
          <x14:formula1>
            <xm:f>底稿须知!$A$8:$A$9</xm:f>
          </x14:formula1>
          <xm:sqref>P19:P41</xm:sqref>
        </x14:dataValidation>
        <x14:dataValidation type="list" allowBlank="1" showInputMessage="1" showErrorMessage="1" xr:uid="{03611BD9-CFEE-4261-85FA-56E5DD554B94}">
          <x14:formula1>
            <xm:f>底稿须知!$A$12:$A$14</xm:f>
          </x14:formula1>
          <xm:sqref>V19:V41</xm:sqref>
        </x14:dataValidation>
        <x14:dataValidation type="list" allowBlank="1" showInputMessage="1" showErrorMessage="1" xr:uid="{1B43A56C-8B9A-4BAB-AFB3-AB4D81613851}">
          <x14:formula1>
            <xm:f>底稿须知!$A$17:$A$18</xm:f>
          </x14:formula1>
          <xm:sqref>W19:W41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FA3ED-337D-4AF5-9043-DECD1A9987D1}">
  <dimension ref="A1:B28"/>
  <sheetViews>
    <sheetView zoomScale="55" workbookViewId="0">
      <selection activeCell="C21" sqref="C21"/>
    </sheetView>
  </sheetViews>
  <sheetFormatPr defaultRowHeight="14" x14ac:dyDescent="0.3"/>
  <cols>
    <col min="1" max="1" width="100.58203125" customWidth="1"/>
  </cols>
  <sheetData>
    <row r="1" spans="1:2" ht="227.5" customHeight="1" x14ac:dyDescent="0.3">
      <c r="A1" s="6" t="s">
        <v>85</v>
      </c>
    </row>
    <row r="2" spans="1:2" x14ac:dyDescent="0.3">
      <c r="A2" s="6"/>
    </row>
    <row r="3" spans="1:2" x14ac:dyDescent="0.3">
      <c r="A3" s="8" t="s">
        <v>43</v>
      </c>
    </row>
    <row r="4" spans="1:2" x14ac:dyDescent="0.3">
      <c r="A4" t="s">
        <v>69</v>
      </c>
    </row>
    <row r="5" spans="1:2" x14ac:dyDescent="0.3">
      <c r="A5" t="s">
        <v>71</v>
      </c>
    </row>
    <row r="7" spans="1:2" x14ac:dyDescent="0.3">
      <c r="A7" s="11" t="s">
        <v>18</v>
      </c>
    </row>
    <row r="8" spans="1:2" x14ac:dyDescent="0.3">
      <c r="A8" t="s">
        <v>73</v>
      </c>
    </row>
    <row r="9" spans="1:2" x14ac:dyDescent="0.3">
      <c r="A9" t="s">
        <v>75</v>
      </c>
    </row>
    <row r="11" spans="1:2" x14ac:dyDescent="0.3">
      <c r="A11" s="8" t="s">
        <v>26</v>
      </c>
      <c r="B11" t="s">
        <v>72</v>
      </c>
    </row>
    <row r="12" spans="1:2" x14ac:dyDescent="0.3">
      <c r="A12" t="s">
        <v>24</v>
      </c>
    </row>
    <row r="13" spans="1:2" x14ac:dyDescent="0.3">
      <c r="A13" t="s">
        <v>77</v>
      </c>
    </row>
    <row r="14" spans="1:2" x14ac:dyDescent="0.3">
      <c r="A14" t="s">
        <v>78</v>
      </c>
    </row>
    <row r="16" spans="1:2" x14ac:dyDescent="0.3">
      <c r="A16" s="8" t="s">
        <v>79</v>
      </c>
    </row>
    <row r="17" spans="1:1" x14ac:dyDescent="0.3">
      <c r="A17" t="s">
        <v>24</v>
      </c>
    </row>
    <row r="18" spans="1:1" x14ac:dyDescent="0.3">
      <c r="A18" t="s">
        <v>28</v>
      </c>
    </row>
    <row r="20" spans="1:1" x14ac:dyDescent="0.3">
      <c r="A20" s="14" t="s">
        <v>25</v>
      </c>
    </row>
    <row r="21" spans="1:1" x14ac:dyDescent="0.3">
      <c r="A21" s="14" t="s">
        <v>87</v>
      </c>
    </row>
    <row r="22" spans="1:1" ht="126" x14ac:dyDescent="0.3">
      <c r="A22" s="6" t="s">
        <v>86</v>
      </c>
    </row>
    <row r="28" spans="1:1" ht="222.5" customHeight="1" x14ac:dyDescent="0.3"/>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底稿须知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奕扬 陈</dc:creator>
  <cp:lastModifiedBy>奕扬 陈</cp:lastModifiedBy>
  <dcterms:created xsi:type="dcterms:W3CDTF">2026-07-28T03:13:39Z</dcterms:created>
  <dcterms:modified xsi:type="dcterms:W3CDTF">2026-08-03T08:24:55Z</dcterms:modified>
</cp:coreProperties>
</file>